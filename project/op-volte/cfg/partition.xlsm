
<file path=[Content_Types].xml><?xml version="1.0" encoding="utf-8"?>
<Types xmlns="http://schemas.openxmlformats.org/package/2006/content-types">
  <Default Extension="bin" ContentType="application/vnd.ms-office.activeX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G:\lm620sdk\project\op-video\cfg\"/>
    </mc:Choice>
  </mc:AlternateContent>
  <xr:revisionPtr revIDLastSave="0" documentId="13_ncr:1_{FF21B2D0-5AD3-41C9-A6A7-8BB4A4496BC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D14" i="1"/>
  <c r="D12" i="1"/>
  <c r="E12" i="1" s="1"/>
  <c r="D11" i="1"/>
  <c r="E11" i="1" s="1"/>
  <c r="D10" i="1"/>
  <c r="E10" i="1" s="1"/>
  <c r="D9" i="1"/>
  <c r="E9" i="1" s="1"/>
  <c r="D8" i="1"/>
  <c r="E8" i="1" s="1"/>
  <c r="D7" i="1"/>
  <c r="E7" i="1" s="1"/>
  <c r="D6" i="1"/>
  <c r="E6" i="1" s="1"/>
  <c r="D5" i="1"/>
  <c r="E5" i="1" s="1"/>
  <c r="D4" i="1"/>
  <c r="E4" i="1" s="1"/>
  <c r="D3" i="1"/>
  <c r="E3" i="1" s="1"/>
  <c r="B4" i="1" s="1"/>
  <c r="B5" i="1" s="1"/>
  <c r="B6" i="1" s="1"/>
  <c r="B7" i="1" s="1"/>
  <c r="B8" i="1" s="1"/>
  <c r="B9" i="1" s="1"/>
  <c r="B10" i="1" s="1"/>
  <c r="B11" i="1" s="1"/>
  <c r="B12" i="1" s="1"/>
  <c r="D16" i="1" l="1"/>
  <c r="E13" i="1" s="1"/>
</calcChain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<sst xmlns="http://schemas.openxmlformats.org/spreadsheetml/2006/main" count="43" uniqueCount="33">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</sst>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#,##0_ "/>
  </numFmts>
  <fonts count="11" x14ac:knownFonts="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8764000366222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/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8" fontId="1" fillId="4" borderId="2" xfId="0" applyNumberFormat="1" applyFont="1" applyFill="1" applyBorder="1" applyProtection="1">
      <protection locked="0"/>
    </xf>
    <xf numFmtId="178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8" fontId="4" fillId="0" borderId="4" xfId="0" applyNumberFormat="1" applyFont="1" applyBorder="1" applyProtection="1">
      <protection locked="0"/>
    </xf>
    <xf numFmtId="178" fontId="5" fillId="6" borderId="2" xfId="0" applyNumberFormat="1" applyFont="1" applyFill="1" applyBorder="1" applyProtection="1"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8" fontId="1" fillId="0" borderId="7" xfId="0" applyNumberFormat="1" applyFont="1" applyBorder="1" applyProtection="1"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8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899731527956094E-2"/>
          <c:y val="0.199086989601826"/>
          <c:w val="0.90276059297303601"/>
          <c:h val="0.55627694648744597"/>
        </c:manualLayout>
      </c:layout>
      <c:barChart>
        <c:barDir val="bar"/>
        <c:grouping val="stacked"/>
        <c:varyColors val="0"/>
        <c:ser>
          <c:idx val="0"/>
          <c:order val="0"/>
          <c:tx>
            <c:v>mbl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0-4FC6-BF91-4D38E52C0862}"/>
            </c:ext>
          </c:extLst>
        </c:ser>
        <c:ser>
          <c:idx val="1"/>
          <c:order val="1"/>
          <c:tx>
            <c:v>part_tbl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0-4FC6-BF91-4D38E52C0862}"/>
            </c:ext>
          </c:extLst>
        </c:ser>
        <c:ser>
          <c:idx val="6"/>
          <c:order val="2"/>
          <c:tx>
            <c:v>xip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0420-4FC6-BF91-4D38E52C0862}"/>
            </c:ext>
          </c:extLst>
        </c:ser>
        <c:ser>
          <c:idx val="2"/>
          <c:order val="3"/>
          <c:tx>
            <c:v>nvf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0-4FC6-BF91-4D38E52C0862}"/>
            </c:ext>
          </c:extLst>
        </c:ser>
        <c:ser>
          <c:idx val="3"/>
          <c:order val="4"/>
          <c:tx>
            <c:v>xboot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20-4FC6-BF91-4D38E52C0862}"/>
            </c:ext>
          </c:extLst>
        </c:ser>
        <c:ser>
          <c:idx val="4"/>
          <c:order val="5"/>
          <c:tx>
            <c:v>cmn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20-4FC6-BF91-4D38E52C0862}"/>
            </c:ext>
          </c:extLst>
        </c:ser>
        <c:ser>
          <c:idx val="5"/>
          <c:order val="6"/>
          <c:tx>
            <c:v>nvd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20-4FC6-BF91-4D38E52C0862}"/>
            </c:ext>
          </c:extLst>
        </c:ser>
        <c:ser>
          <c:idx val="9"/>
          <c:order val="7"/>
          <c:tx>
            <c:v>zknl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2736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20-4FC6-BF91-4D38E52C0862}"/>
            </c:ext>
          </c:extLst>
        </c:ser>
        <c:ser>
          <c:idx val="10"/>
          <c:order val="8"/>
          <c:tx>
            <c:v>xknl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20-4FC6-BF91-4D38E52C0862}"/>
            </c:ext>
          </c:extLst>
        </c:ser>
        <c:ser>
          <c:idx val="11"/>
          <c:order val="9"/>
          <c:tx>
            <c:v>data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20-4FC6-BF91-4D38E52C0862}"/>
            </c:ext>
          </c:extLst>
        </c:ser>
        <c:ser>
          <c:idx val="13"/>
          <c:order val="10"/>
          <c:tx>
            <c:v>未分配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20-4FC6-BF91-4D38E52C08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0</xdr:row>
          <xdr:rowOff>137160</xdr:rowOff>
        </xdr:from>
        <xdr:to>
          <xdr:col>8</xdr:col>
          <xdr:colOff>304800</xdr:colOff>
          <xdr:row>4</xdr:row>
          <xdr:rowOff>121920</xdr:rowOff>
        </xdr:to>
        <xdr:sp macro="" textlink=""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80808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3"/>
  <sheetViews>
    <sheetView tabSelected="1" topLeftCell="A7" workbookViewId="0">
      <selection activeCell="Q26" sqref="Q26"/>
    </sheetView>
  </sheetViews>
  <sheetFormatPr defaultColWidth="8.88671875" defaultRowHeight="14.4" x14ac:dyDescent="0.25"/>
  <cols>
    <col min="1" max="1" width="14" style="2" customWidth="1"/>
    <col min="2" max="2" width="12.109375" style="2" customWidth="1"/>
    <col min="3" max="3" width="19.88671875" style="2" customWidth="1"/>
    <col min="4" max="4" width="14.44140625" style="2" customWidth="1"/>
    <col min="5" max="5" width="16.88671875" style="2" customWidth="1"/>
    <col min="6" max="6" width="13.88671875" style="2" customWidth="1"/>
    <col min="7" max="13" width="8.88671875" style="2"/>
    <col min="14" max="14" width="7.21875" style="2" customWidth="1"/>
    <col min="15" max="15" width="8.21875" style="2" customWidth="1"/>
    <col min="16" max="16" width="11.88671875" style="2" customWidth="1"/>
    <col min="17" max="17" width="10.44140625" style="2" customWidth="1"/>
    <col min="18" max="16384" width="8.88671875" style="2"/>
  </cols>
  <sheetData>
    <row r="1" spans="1:6" s="1" customFormat="1" x14ac:dyDescent="0.25">
      <c r="A1" s="28" t="s">
        <v>0</v>
      </c>
      <c r="B1" s="28" t="s">
        <v>1</v>
      </c>
      <c r="C1" s="24" t="s">
        <v>2</v>
      </c>
      <c r="D1" s="24"/>
      <c r="E1" s="3" t="s">
        <v>3</v>
      </c>
      <c r="F1" s="4"/>
    </row>
    <row r="2" spans="1:6" s="1" customFormat="1" x14ac:dyDescent="0.25">
      <c r="A2" s="29"/>
      <c r="B2" s="29"/>
      <c r="C2" s="5" t="s">
        <v>4</v>
      </c>
      <c r="D2" s="5" t="s">
        <v>5</v>
      </c>
      <c r="E2" s="5" t="s">
        <v>5</v>
      </c>
      <c r="F2" s="4"/>
    </row>
    <row r="3" spans="1:6" s="1" customFormat="1" ht="15.6" x14ac:dyDescent="0.25">
      <c r="A3" s="6" t="s">
        <v>6</v>
      </c>
      <c r="B3" s="7" t="s">
        <v>7</v>
      </c>
      <c r="C3" s="8">
        <v>36</v>
      </c>
      <c r="D3" s="8">
        <f>C3*1024</f>
        <v>36864</v>
      </c>
      <c r="E3" s="7" t="str">
        <f>"0x"&amp;DEC2HEX(D3,8)</f>
        <v>0x00009000</v>
      </c>
      <c r="F3" s="4"/>
    </row>
    <row r="4" spans="1:6" s="1" customFormat="1" ht="15.6" x14ac:dyDescent="0.25">
      <c r="A4" s="6" t="s">
        <v>8</v>
      </c>
      <c r="B4" s="7" t="str">
        <f>"0x"&amp;DEC2HEX(HEX2DEC(RIGHT(B3,LEN(B3)-2))+HEX2DEC(RIGHT(E3,LEN(E3)-2)),8)</f>
        <v>0x00009000</v>
      </c>
      <c r="C4" s="8">
        <v>4</v>
      </c>
      <c r="D4" s="8">
        <f>C4*1024</f>
        <v>4096</v>
      </c>
      <c r="E4" s="7" t="str">
        <f>"0x"&amp;DEC2HEX(D4,8)</f>
        <v>0x00001000</v>
      </c>
      <c r="F4" s="4"/>
    </row>
    <row r="5" spans="1:6" s="1" customFormat="1" ht="15.6" x14ac:dyDescent="0.25">
      <c r="A5" s="6" t="s">
        <v>9</v>
      </c>
      <c r="B5" s="7" t="str">
        <f>"0x"&amp;DEC2HEX(HEX2DEC(RIGHT(B4,LEN(B4)-2))+HEX2DEC(RIGHT(E4,LEN(E4)-2)),8)</f>
        <v>0x0000A000</v>
      </c>
      <c r="C5" s="8">
        <v>4</v>
      </c>
      <c r="D5" s="8">
        <f>C5*1024</f>
        <v>4096</v>
      </c>
      <c r="E5" s="7" t="str">
        <f>"0x"&amp;DEC2HEX(D5,8)</f>
        <v>0x00001000</v>
      </c>
      <c r="F5" s="4"/>
    </row>
    <row r="6" spans="1:6" s="1" customFormat="1" ht="15.6" x14ac:dyDescent="0.25">
      <c r="A6" s="6" t="s">
        <v>10</v>
      </c>
      <c r="B6" s="7" t="str">
        <f>"0x"&amp;DEC2HEX(HEX2DEC(RIGHT(B5,LEN(B5)-2))+HEX2DEC(RIGHT(E5,LEN(E5)-2)),8)</f>
        <v>0x0000B000</v>
      </c>
      <c r="C6" s="8">
        <v>28</v>
      </c>
      <c r="D6" s="8">
        <f t="shared" ref="D6:D12" si="0">C6*1024</f>
        <v>28672</v>
      </c>
      <c r="E6" s="7" t="str">
        <f t="shared" ref="E6:E12" si="1">"0x"&amp;DEC2HEX(D6,8)</f>
        <v>0x00007000</v>
      </c>
      <c r="F6" s="4"/>
    </row>
    <row r="7" spans="1:6" s="1" customFormat="1" ht="15.6" x14ac:dyDescent="0.25">
      <c r="A7" s="6" t="s">
        <v>11</v>
      </c>
      <c r="B7" s="7" t="str">
        <f t="shared" ref="B7:B12" si="2">"0x"&amp;DEC2HEX(HEX2DEC(RIGHT(B6,LEN(B6)-2))+HEX2DEC(RIGHT(E6,LEN(E6)-2)),8)</f>
        <v>0x00012000</v>
      </c>
      <c r="C7" s="8">
        <v>64</v>
      </c>
      <c r="D7" s="8">
        <f t="shared" si="0"/>
        <v>65536</v>
      </c>
      <c r="E7" s="7" t="str">
        <f t="shared" si="1"/>
        <v>0x00010000</v>
      </c>
      <c r="F7" s="4"/>
    </row>
    <row r="8" spans="1:6" s="1" customFormat="1" ht="15.6" x14ac:dyDescent="0.25">
      <c r="A8" s="6" t="s">
        <v>12</v>
      </c>
      <c r="B8" s="7" t="str">
        <f t="shared" si="2"/>
        <v>0x00022000</v>
      </c>
      <c r="C8" s="8">
        <v>4</v>
      </c>
      <c r="D8" s="8">
        <f t="shared" si="0"/>
        <v>4096</v>
      </c>
      <c r="E8" s="7" t="str">
        <f t="shared" si="1"/>
        <v>0x00001000</v>
      </c>
      <c r="F8" s="4"/>
    </row>
    <row r="9" spans="1:6" s="1" customFormat="1" ht="15.6" x14ac:dyDescent="0.25">
      <c r="A9" s="6" t="s">
        <v>13</v>
      </c>
      <c r="B9" s="7" t="str">
        <f t="shared" si="2"/>
        <v>0x00023000</v>
      </c>
      <c r="C9" s="8">
        <v>24</v>
      </c>
      <c r="D9" s="8">
        <f t="shared" si="0"/>
        <v>24576</v>
      </c>
      <c r="E9" s="7" t="str">
        <f t="shared" si="1"/>
        <v>0x00006000</v>
      </c>
      <c r="F9" s="4"/>
    </row>
    <row r="10" spans="1:6" s="1" customFormat="1" ht="15.6" x14ac:dyDescent="0.25">
      <c r="A10" s="6" t="s">
        <v>14</v>
      </c>
      <c r="B10" s="7" t="str">
        <f t="shared" si="2"/>
        <v>0x00029000</v>
      </c>
      <c r="C10" s="9">
        <v>2736</v>
      </c>
      <c r="D10" s="8">
        <f t="shared" si="0"/>
        <v>2801664</v>
      </c>
      <c r="E10" s="7" t="str">
        <f t="shared" si="1"/>
        <v>0x002AC000</v>
      </c>
      <c r="F10" s="4"/>
    </row>
    <row r="11" spans="1:6" s="1" customFormat="1" ht="15.6" x14ac:dyDescent="0.25">
      <c r="A11" s="6" t="s">
        <v>15</v>
      </c>
      <c r="B11" s="7" t="str">
        <f t="shared" si="2"/>
        <v>0x002D5000</v>
      </c>
      <c r="C11" s="9">
        <v>640</v>
      </c>
      <c r="D11" s="8">
        <f t="shared" si="0"/>
        <v>655360</v>
      </c>
      <c r="E11" s="7" t="str">
        <f t="shared" si="1"/>
        <v>0x000A0000</v>
      </c>
      <c r="F11" s="4"/>
    </row>
    <row r="12" spans="1:6" s="1" customFormat="1" ht="15.6" x14ac:dyDescent="0.25">
      <c r="A12" s="6" t="s">
        <v>16</v>
      </c>
      <c r="B12" s="7" t="str">
        <f t="shared" si="2"/>
        <v>0x00375000</v>
      </c>
      <c r="C12" s="9">
        <v>556</v>
      </c>
      <c r="D12" s="8">
        <f t="shared" si="0"/>
        <v>569344</v>
      </c>
      <c r="E12" s="7" t="str">
        <f t="shared" si="1"/>
        <v>0x0008B000</v>
      </c>
      <c r="F12" s="4"/>
    </row>
    <row r="13" spans="1:6" s="1" customFormat="1" x14ac:dyDescent="0.25">
      <c r="A13" s="10" t="s">
        <v>17</v>
      </c>
      <c r="B13" s="10"/>
      <c r="C13" s="10"/>
      <c r="D13" s="11"/>
      <c r="E13" s="12">
        <f>D16*1024</f>
        <v>0</v>
      </c>
    </row>
    <row r="14" spans="1:6" s="1" customFormat="1" x14ac:dyDescent="0.25">
      <c r="A14" s="30" t="s">
        <v>18</v>
      </c>
      <c r="B14" s="33">
        <v>4096</v>
      </c>
      <c r="C14" s="13" t="s">
        <v>19</v>
      </c>
      <c r="D14" s="14">
        <f>SUM(C3:C12)</f>
        <v>4096</v>
      </c>
      <c r="E14" s="14" t="s">
        <v>20</v>
      </c>
      <c r="F14" s="4"/>
    </row>
    <row r="15" spans="1:6" s="1" customFormat="1" x14ac:dyDescent="0.25">
      <c r="A15" s="31"/>
      <c r="B15" s="34"/>
      <c r="C15" s="13" t="s">
        <v>21</v>
      </c>
      <c r="D15" s="14">
        <f>B14</f>
        <v>4096</v>
      </c>
      <c r="E15" s="14" t="s">
        <v>20</v>
      </c>
      <c r="F15" s="4"/>
    </row>
    <row r="16" spans="1:6" s="1" customFormat="1" x14ac:dyDescent="0.25">
      <c r="A16" s="32"/>
      <c r="B16" s="35"/>
      <c r="C16" s="15" t="s">
        <v>22</v>
      </c>
      <c r="D16" s="16">
        <f>(D15-D14)</f>
        <v>0</v>
      </c>
      <c r="E16" s="14" t="s">
        <v>20</v>
      </c>
      <c r="F16" s="4"/>
    </row>
    <row r="17" spans="1:18" s="1" customFormat="1" x14ac:dyDescent="0.25">
      <c r="A17" s="17"/>
      <c r="B17" s="17"/>
      <c r="C17" s="17"/>
      <c r="D17" s="17"/>
      <c r="E17" s="17"/>
      <c r="F17" s="17"/>
      <c r="N17" s="19"/>
      <c r="O17" s="19"/>
      <c r="P17" s="19"/>
      <c r="Q17" s="19"/>
    </row>
    <row r="18" spans="1:18" s="1" customFormat="1" ht="15.6" x14ac:dyDescent="0.35">
      <c r="M18" s="20"/>
      <c r="N18" s="25" t="s">
        <v>23</v>
      </c>
      <c r="O18" s="26"/>
      <c r="P18" s="26"/>
      <c r="Q18" s="27"/>
      <c r="R18" s="4"/>
    </row>
    <row r="19" spans="1:18" s="1" customFormat="1" ht="15.6" x14ac:dyDescent="0.25">
      <c r="M19" s="20"/>
      <c r="N19" s="21" t="s">
        <v>24</v>
      </c>
      <c r="O19" s="21" t="s">
        <v>25</v>
      </c>
      <c r="P19" s="21" t="s">
        <v>0</v>
      </c>
      <c r="Q19" s="21" t="s">
        <v>26</v>
      </c>
      <c r="R19" s="4"/>
    </row>
    <row r="20" spans="1:18" s="1" customFormat="1" ht="15.6" x14ac:dyDescent="0.35">
      <c r="M20" s="20"/>
      <c r="N20" s="36" t="s">
        <v>27</v>
      </c>
      <c r="O20" s="36" t="s">
        <v>28</v>
      </c>
      <c r="P20" s="22" t="s">
        <v>14</v>
      </c>
      <c r="Q20" s="23">
        <v>888</v>
      </c>
      <c r="R20" s="4"/>
    </row>
    <row r="21" spans="1:18" s="1" customFormat="1" ht="15.6" x14ac:dyDescent="0.35">
      <c r="M21" s="20"/>
      <c r="N21" s="37"/>
      <c r="O21" s="37"/>
      <c r="P21" s="22" t="s">
        <v>15</v>
      </c>
      <c r="Q21" s="23">
        <v>640</v>
      </c>
      <c r="R21" s="4"/>
    </row>
    <row r="22" spans="1:18" s="1" customFormat="1" ht="15.6" x14ac:dyDescent="0.35">
      <c r="M22" s="20"/>
      <c r="N22" s="38"/>
      <c r="O22" s="38"/>
      <c r="P22" s="22" t="s">
        <v>16</v>
      </c>
      <c r="Q22" s="23">
        <v>356</v>
      </c>
      <c r="R22" s="4"/>
    </row>
    <row r="23" spans="1:18" s="1" customFormat="1" ht="15.6" x14ac:dyDescent="0.35">
      <c r="M23" s="20"/>
      <c r="N23" s="36" t="s">
        <v>29</v>
      </c>
      <c r="O23" s="36" t="s">
        <v>30</v>
      </c>
      <c r="P23" s="22" t="s">
        <v>14</v>
      </c>
      <c r="Q23" s="23">
        <v>2736</v>
      </c>
      <c r="R23" s="4"/>
    </row>
    <row r="24" spans="1:18" s="1" customFormat="1" ht="15.6" x14ac:dyDescent="0.35">
      <c r="M24" s="20"/>
      <c r="N24" s="37"/>
      <c r="O24" s="37"/>
      <c r="P24" s="22" t="s">
        <v>15</v>
      </c>
      <c r="Q24" s="23">
        <v>640</v>
      </c>
      <c r="R24" s="4"/>
    </row>
    <row r="25" spans="1:18" s="1" customFormat="1" ht="15.6" x14ac:dyDescent="0.35">
      <c r="M25" s="20"/>
      <c r="N25" s="38"/>
      <c r="O25" s="38"/>
      <c r="P25" s="22" t="s">
        <v>16</v>
      </c>
      <c r="Q25" s="23">
        <v>556</v>
      </c>
      <c r="R25" s="4"/>
    </row>
    <row r="26" spans="1:18" s="1" customFormat="1" ht="15.6" x14ac:dyDescent="0.35">
      <c r="M26" s="20"/>
      <c r="N26" s="36" t="s">
        <v>31</v>
      </c>
      <c r="O26" s="36"/>
      <c r="P26" s="22"/>
      <c r="Q26" s="23"/>
      <c r="R26" s="4"/>
    </row>
    <row r="27" spans="1:18" s="1" customFormat="1" ht="15.6" x14ac:dyDescent="0.35">
      <c r="M27" s="20"/>
      <c r="N27" s="37"/>
      <c r="O27" s="37"/>
      <c r="P27" s="22"/>
      <c r="Q27" s="23"/>
      <c r="R27" s="4"/>
    </row>
    <row r="28" spans="1:18" s="1" customFormat="1" ht="15.6" x14ac:dyDescent="0.35">
      <c r="M28" s="20"/>
      <c r="N28" s="38"/>
      <c r="O28" s="38"/>
      <c r="P28" s="22"/>
      <c r="Q28" s="23"/>
      <c r="R28" s="4"/>
    </row>
    <row r="29" spans="1:18" s="1" customFormat="1" ht="15.6" x14ac:dyDescent="0.35">
      <c r="M29" s="20"/>
      <c r="N29" s="36" t="s">
        <v>32</v>
      </c>
      <c r="O29" s="36"/>
      <c r="P29" s="22"/>
      <c r="Q29" s="23"/>
      <c r="R29" s="4"/>
    </row>
    <row r="30" spans="1:18" s="1" customFormat="1" ht="15.6" x14ac:dyDescent="0.35">
      <c r="N30" s="37"/>
      <c r="O30" s="37"/>
      <c r="P30" s="22"/>
      <c r="Q30" s="23"/>
    </row>
    <row r="31" spans="1:18" s="1" customFormat="1" ht="15.6" x14ac:dyDescent="0.35">
      <c r="N31" s="38"/>
      <c r="O31" s="38"/>
      <c r="P31" s="22"/>
      <c r="Q31" s="23"/>
    </row>
    <row r="32" spans="1:18" s="1" customFormat="1" x14ac:dyDescent="0.25"/>
    <row r="33" spans="6:6" x14ac:dyDescent="0.25">
      <c r="F33" s="18"/>
    </row>
  </sheetData>
  <mergeCells count="14">
    <mergeCell ref="N20:N22"/>
    <mergeCell ref="N23:N25"/>
    <mergeCell ref="N26:N28"/>
    <mergeCell ref="N29:N31"/>
    <mergeCell ref="O20:O22"/>
    <mergeCell ref="O23:O25"/>
    <mergeCell ref="O26:O28"/>
    <mergeCell ref="O29:O31"/>
    <mergeCell ref="C1:D1"/>
    <mergeCell ref="N18:Q18"/>
    <mergeCell ref="A1:A2"/>
    <mergeCell ref="A14:A16"/>
    <mergeCell ref="B1:B2"/>
    <mergeCell ref="B14:B16"/>
  </mergeCells>
  <phoneticPr fontId="10" type="noConversion"/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{AB8787E3-FD6F-4BB3-8105-D6091C7509DD}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{7AF83180-28F4-47FC-8E9D-5455DA1A6152}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{696D4E08-094B-46E0-9703-B6A9BD50968F}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{56D24850-3CAF-424C-B702-1F7D1D3B16F9}</x14:id>
        </ext>
      </extLst>
    </cfRule>
  </conditionalFormatting>
  <dataValidations count="1">
    <dataValidation type="list" allowBlank="1" showInputMessage="1" showErrorMessage="1" sqref="B14:B16" xr:uid="{00000000-0002-0000-0000-000000000000}">
      <formula1>"4096,8192,2048"</formula1>
    </dataValidation>
  </dataValidation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altText="" r:id="rId4">
            <anchor moveWithCells="1">
              <from>
                <xdr:col>5</xdr:col>
                <xdr:colOff>251460</xdr:colOff>
                <xdr:row>0</xdr:row>
                <xdr:rowOff>137160</xdr:rowOff>
              </from>
              <to>
                <xdr:col>8</xdr:col>
                <xdr:colOff>304800</xdr:colOff>
                <xdr:row>4</xdr:row>
                <xdr:rowOff>121920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787E3-FD6F-4BB3-8105-D6091C7509D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7AF83180-28F4-47FC-8E9D-5455DA1A61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696D4E08-094B-46E0-9703-B6A9BD50968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56D24850-3CAF-424C-B702-1F7D1D3B16F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全 周</cp:lastModifiedBy>
  <dcterms:created xsi:type="dcterms:W3CDTF">2006-09-16T00:00:00Z</dcterms:created>
  <dcterms:modified xsi:type="dcterms:W3CDTF">2025-07-02T07:57:57Z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2052-11.1.0.11875</vt:lpwstr>
  </property>
</Properties>
</file>