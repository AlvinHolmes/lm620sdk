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lm620.ms-1\project\ex-dlmo\cfg\"/>
    </mc:Choice>
  </mc:AlternateContent>
  <xr:revisionPtr revIDLastSave="0" documentId="13_ncr:1_{34B8D890-735A-46DF-874A-C3FCDE5AC8D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分区配置生成工具" sheetId="1" r:id="rId1"/>
  </sheets>
  <functionGroups builtInGroupCount="19"/>
  <definedNames>
    <definedName name="_xlnm._FilterDatabase" localSheetId="0" hidden="1">分区配置生成工具!$A$15:$E$17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1" l="1"/>
  <c r="D15" i="1"/>
  <c r="E13" i="1"/>
  <c r="D13" i="1"/>
  <c r="D12" i="1"/>
  <c r="E12" i="1" s="1"/>
  <c r="D11" i="1"/>
  <c r="E11" i="1" s="1"/>
  <c r="D10" i="1"/>
  <c r="E10" i="1" s="1"/>
  <c r="D9" i="1"/>
  <c r="E9" i="1" s="1"/>
  <c r="D8" i="1"/>
  <c r="E8" i="1" s="1"/>
  <c r="D7" i="1"/>
  <c r="E7" i="1" s="1"/>
  <c r="D6" i="1"/>
  <c r="E6" i="1" s="1"/>
  <c r="D5" i="1"/>
  <c r="E5" i="1" s="1"/>
  <c r="D4" i="1"/>
  <c r="E4" i="1" s="1"/>
  <c r="D3" i="1"/>
  <c r="E3" i="1" s="1"/>
  <c r="B4" i="1" s="1"/>
  <c r="B5" i="1" s="1"/>
  <c r="B6" i="1" s="1"/>
  <c r="B7" i="1" s="1"/>
  <c r="B8" i="1" s="1"/>
  <c r="B9" i="1" s="1"/>
  <c r="B10" i="1" s="1"/>
  <c r="B11" i="1" s="1"/>
  <c r="B12" i="1" s="1"/>
  <c r="B13" i="1" s="1"/>
  <c r="D17" i="1" l="1"/>
  <c r="E14" i="1" s="1"/>
</calcChain>
</file>

<file path=xl/sharedStrings.xml><?xml version="1.0" encoding="utf-8"?>
<sst xmlns="http://schemas.openxmlformats.org/spreadsheetml/2006/main" count="44" uniqueCount="34">
  <si>
    <t>分区</t>
  </si>
  <si>
    <t>起始地址</t>
  </si>
  <si>
    <t>十进制</t>
  </si>
  <si>
    <t>十六进制</t>
  </si>
  <si>
    <t>分区长度(KB)</t>
  </si>
  <si>
    <t>分区长度(B)</t>
  </si>
  <si>
    <t>mbl</t>
  </si>
  <si>
    <t>0x00000000</t>
  </si>
  <si>
    <t>part_tbl</t>
  </si>
  <si>
    <t>xip</t>
  </si>
  <si>
    <t>nvf</t>
  </si>
  <si>
    <t>xboot</t>
  </si>
  <si>
    <t>cmn</t>
  </si>
  <si>
    <t>nvd</t>
  </si>
  <si>
    <t>xknl</t>
  </si>
  <si>
    <t>zknl</t>
  </si>
  <si>
    <t>dlmo</t>
  </si>
  <si>
    <t>data</t>
  </si>
  <si>
    <t>未分配</t>
  </si>
  <si>
    <t>FLASH选型配置
（ KB ）</t>
  </si>
  <si>
    <t>FLASH分区表总大小</t>
  </si>
  <si>
    <r>
      <rPr>
        <sz val="11"/>
        <color theme="1"/>
        <rFont val="黑体"/>
        <family val="3"/>
        <charset val="134"/>
      </rPr>
      <t>K</t>
    </r>
    <r>
      <rPr>
        <sz val="11"/>
        <color theme="1"/>
        <rFont val="黑体"/>
        <family val="3"/>
        <charset val="134"/>
      </rPr>
      <t>B</t>
    </r>
  </si>
  <si>
    <t>FLASH选型配置大小</t>
  </si>
  <si>
    <t>未分配大小</t>
  </si>
  <si>
    <t>附: 参考Flash配置</t>
  </si>
  <si>
    <t>示例</t>
  </si>
  <si>
    <t>容量</t>
  </si>
  <si>
    <t>长度(KB)</t>
  </si>
  <si>
    <t>示例1</t>
  </si>
  <si>
    <t>2MB</t>
  </si>
  <si>
    <t>示例2</t>
  </si>
  <si>
    <t>4MB</t>
  </si>
  <si>
    <t>示例3</t>
  </si>
  <si>
    <t>示例4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</si>
</sst>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#,##0_ "/>
  </numFmts>
  <fonts count="11" x14ac:knownFonts="1">
    <font>
      <sz val="11"/>
      <color theme="1"/>
      <name val="宋体"/>
      <charset val="134"/>
      <scheme val="minor"/>
    </font>
    <font>
      <sz val="11"/>
      <color theme="1"/>
      <name val="黑体"/>
      <family val="3"/>
      <charset val="134"/>
    </font>
    <font>
      <sz val="12"/>
      <color theme="1"/>
      <name val="黑体"/>
      <family val="3"/>
      <charset val="134"/>
    </font>
    <font>
      <b/>
      <sz val="11"/>
      <color theme="1"/>
      <name val="黑体"/>
      <family val="3"/>
      <charset val="134"/>
    </font>
    <font>
      <sz val="11"/>
      <color theme="0"/>
      <name val="宋体"/>
      <family val="3"/>
      <charset val="134"/>
      <scheme val="minor"/>
    </font>
    <font>
      <sz val="11"/>
      <color theme="0"/>
      <name val="黑体"/>
      <family val="3"/>
      <charset val="134"/>
    </font>
    <font>
      <b/>
      <sz val="11"/>
      <color rgb="FFFF0000"/>
      <name val="黑体"/>
      <family val="3"/>
      <charset val="134"/>
    </font>
    <font>
      <sz val="11"/>
      <color indexed="8"/>
      <name val="宋体"/>
      <family val="3"/>
      <charset val="134"/>
      <scheme val="minor"/>
    </font>
    <font>
      <b/>
      <sz val="11"/>
      <color theme="1"/>
      <name val="微软雅黑 Light"/>
      <family val="2"/>
      <charset val="134"/>
    </font>
    <font>
      <sz val="11"/>
      <color theme="1"/>
      <name val="微软雅黑 Light"/>
      <family val="2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8764000366222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 applyProtection="1">
      <protection locked="0"/>
    </xf>
    <xf numFmtId="0" fontId="0" fillId="0" borderId="1" xfId="0" applyBorder="1"/>
    <xf numFmtId="0" fontId="1" fillId="3" borderId="2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" fillId="3" borderId="2" xfId="0" applyFont="1" applyFill="1" applyBorder="1" applyAlignment="1" applyProtection="1">
      <alignment horizontal="right"/>
      <protection locked="0"/>
    </xf>
    <xf numFmtId="0" fontId="1" fillId="2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alignment horizontal="right"/>
      <protection locked="0"/>
    </xf>
    <xf numFmtId="178" fontId="1" fillId="4" borderId="2" xfId="0" applyNumberFormat="1" applyFont="1" applyFill="1" applyBorder="1" applyProtection="1">
      <protection locked="0"/>
    </xf>
    <xf numFmtId="178" fontId="3" fillId="5" borderId="2" xfId="0" applyNumberFormat="1" applyFont="1" applyFill="1" applyBorder="1" applyProtection="1">
      <protection locked="0"/>
    </xf>
    <xf numFmtId="0" fontId="4" fillId="0" borderId="4" xfId="0" applyFont="1" applyBorder="1" applyProtection="1">
      <protection locked="0"/>
    </xf>
    <xf numFmtId="178" fontId="4" fillId="0" borderId="4" xfId="0" applyNumberFormat="1" applyFont="1" applyBorder="1" applyProtection="1">
      <protection locked="0"/>
    </xf>
    <xf numFmtId="178" fontId="5" fillId="6" borderId="2" xfId="0" applyNumberFormat="1" applyFont="1" applyFill="1" applyBorder="1" applyProtection="1">
      <protection locked="0"/>
    </xf>
    <xf numFmtId="0" fontId="1" fillId="6" borderId="7" xfId="0" applyFont="1" applyFill="1" applyBorder="1" applyAlignment="1" applyProtection="1">
      <alignment horizontal="right"/>
      <protection locked="0"/>
    </xf>
    <xf numFmtId="178" fontId="1" fillId="0" borderId="7" xfId="0" applyNumberFormat="1" applyFont="1" applyBorder="1" applyProtection="1">
      <protection locked="0"/>
    </xf>
    <xf numFmtId="0" fontId="6" fillId="7" borderId="7" xfId="0" applyFont="1" applyFill="1" applyBorder="1" applyAlignment="1" applyProtection="1">
      <alignment horizontal="right"/>
      <protection locked="0"/>
    </xf>
    <xf numFmtId="178" fontId="6" fillId="5" borderId="7" xfId="0" applyNumberFormat="1" applyFont="1" applyFill="1" applyBorder="1" applyProtection="1">
      <protection locked="0"/>
    </xf>
    <xf numFmtId="0" fontId="0" fillId="0" borderId="12" xfId="0" applyBorder="1" applyProtection="1">
      <protection locked="0"/>
    </xf>
    <xf numFmtId="0" fontId="7" fillId="0" borderId="1" xfId="0" applyFont="1" applyBorder="1"/>
    <xf numFmtId="0" fontId="0" fillId="0" borderId="4" xfId="0" applyBorder="1" applyProtection="1">
      <protection locked="0"/>
    </xf>
    <xf numFmtId="0" fontId="0" fillId="0" borderId="13" xfId="0" applyBorder="1" applyProtection="1"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7" xfId="0" applyFont="1" applyBorder="1" applyProtection="1">
      <protection locked="0"/>
    </xf>
    <xf numFmtId="0" fontId="9" fillId="0" borderId="7" xfId="0" applyFont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8" fillId="7" borderId="14" xfId="0" applyFont="1" applyFill="1" applyBorder="1" applyAlignment="1" applyProtection="1">
      <alignment horizontal="left"/>
      <protection locked="0"/>
    </xf>
    <xf numFmtId="0" fontId="8" fillId="7" borderId="15" xfId="0" applyFont="1" applyFill="1" applyBorder="1" applyAlignment="1" applyProtection="1">
      <alignment horizontal="left"/>
      <protection locked="0"/>
    </xf>
    <xf numFmtId="0" fontId="8" fillId="7" borderId="16" xfId="0" applyFont="1" applyFill="1" applyBorder="1" applyAlignment="1" applyProtection="1">
      <alignment horizontal="left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7" borderId="5" xfId="0" applyFont="1" applyFill="1" applyBorder="1" applyAlignment="1" applyProtection="1">
      <alignment horizontal="center" vertical="center" wrapText="1"/>
      <protection locked="0"/>
    </xf>
    <xf numFmtId="0" fontId="1" fillId="7" borderId="8" xfId="0" applyFont="1" applyFill="1" applyBorder="1" applyAlignment="1" applyProtection="1">
      <alignment horizontal="center" vertical="center" wrapText="1"/>
      <protection locked="0"/>
    </xf>
    <xf numFmtId="0" fontId="1" fillId="7" borderId="10" xfId="0" applyFont="1" applyFill="1" applyBorder="1" applyAlignment="1" applyProtection="1">
      <alignment horizontal="center" vertical="center" wrapText="1"/>
      <protection locked="0"/>
    </xf>
    <xf numFmtId="0" fontId="1" fillId="5" borderId="6" xfId="0" applyFont="1" applyFill="1" applyBorder="1" applyAlignment="1" applyProtection="1">
      <alignment horizontal="center" vertical="center"/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Medium9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分区</a:t>
            </a:r>
            <a:r>
              <a:rPr lang="zh-CN" altLang="en-US"/>
              <a:t>长度（</a:t>
            </a:r>
            <a:r>
              <a:rPr lang="en-US" altLang="zh-CN"/>
              <a:t>KB)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899731527956094E-2"/>
          <c:y val="0.199086989601826"/>
          <c:w val="0.90276059297303601"/>
          <c:h val="0.55627694648744597"/>
        </c:manualLayout>
      </c:layout>
      <c:barChart>
        <c:barDir val="bar"/>
        <c:grouping val="stacked"/>
        <c:varyColors val="0"/>
        <c:ser>
          <c:idx val="0"/>
          <c:order val="0"/>
          <c:tx>
            <c:v>mbl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分区配置生成工具!$C$3</c:f>
              <c:numCache>
                <c:formatCode>#,##0_ 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D1-469D-9756-E1E29BEB8D75}"/>
            </c:ext>
          </c:extLst>
        </c:ser>
        <c:ser>
          <c:idx val="1"/>
          <c:order val="1"/>
          <c:tx>
            <c:v>part_tbl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分区配置生成工具!$C$4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D1-469D-9756-E1E29BEB8D75}"/>
            </c:ext>
          </c:extLst>
        </c:ser>
        <c:ser>
          <c:idx val="6"/>
          <c:order val="2"/>
          <c:tx>
            <c:v>xip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2-A0D1-469D-9756-E1E29BEB8D75}"/>
            </c:ext>
          </c:extLst>
        </c:ser>
        <c:ser>
          <c:idx val="2"/>
          <c:order val="3"/>
          <c:tx>
            <c:v>nvf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分区配置生成工具!$C$6</c:f>
              <c:numCache>
                <c:formatCode>#,##0_ 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D1-469D-9756-E1E29BEB8D75}"/>
            </c:ext>
          </c:extLst>
        </c:ser>
        <c:ser>
          <c:idx val="3"/>
          <c:order val="4"/>
          <c:tx>
            <c:v>xboot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分区配置生成工具!$C$7</c:f>
              <c:numCache>
                <c:formatCode>#,##0_ 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D1-469D-9756-E1E29BEB8D75}"/>
            </c:ext>
          </c:extLst>
        </c:ser>
        <c:ser>
          <c:idx val="4"/>
          <c:order val="5"/>
          <c:tx>
            <c:v>cmn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分区配置生成工具!$C$8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D1-469D-9756-E1E29BEB8D75}"/>
            </c:ext>
          </c:extLst>
        </c:ser>
        <c:ser>
          <c:idx val="5"/>
          <c:order val="6"/>
          <c:tx>
            <c:v>nvd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分区配置生成工具!$C$9</c:f>
              <c:numCache>
                <c:formatCode>#,##0_ 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D1-469D-9756-E1E29BEB8D75}"/>
            </c:ext>
          </c:extLst>
        </c:ser>
        <c:ser>
          <c:idx val="9"/>
          <c:order val="7"/>
          <c:tx>
            <c:v>zknl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分区配置生成工具!$C$10</c:f>
              <c:numCache>
                <c:formatCode>#,##0_ </c:formatCode>
                <c:ptCount val="1"/>
                <c:pt idx="0">
                  <c:v>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D1-469D-9756-E1E29BEB8D75}"/>
            </c:ext>
          </c:extLst>
        </c:ser>
        <c:ser>
          <c:idx val="10"/>
          <c:order val="8"/>
          <c:tx>
            <c:v>xknl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分区配置生成工具!$C$11</c:f>
              <c:numCache>
                <c:formatCode>#,##0_ </c:formatCode>
                <c:ptCount val="1"/>
                <c:pt idx="0">
                  <c:v>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D1-469D-9756-E1E29BEB8D75}"/>
            </c:ext>
          </c:extLst>
        </c:ser>
        <c:ser>
          <c:idx val="11"/>
          <c:order val="9"/>
          <c:tx>
            <c:v>data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分区配置生成工具!$C$13</c:f>
              <c:numCache>
                <c:formatCode>#,##0_ </c:formatCode>
                <c:ptCount val="1"/>
                <c:pt idx="0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D1-469D-9756-E1E29BEB8D75}"/>
            </c:ext>
          </c:extLst>
        </c:ser>
        <c:ser>
          <c:idx val="13"/>
          <c:order val="10"/>
          <c:tx>
            <c:v>未分配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分区配置生成工具!$D$17</c:f>
              <c:numCache>
                <c:formatCode>#,##0_ 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D1-469D-9756-E1E29BEB8D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681967120"/>
        <c:axId val="681978000"/>
      </c:barChart>
      <c:catAx>
        <c:axId val="681967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681978000"/>
        <c:crosses val="autoZero"/>
        <c:auto val="1"/>
        <c:lblAlgn val="ctr"/>
        <c:lblOffset val="100"/>
        <c:noMultiLvlLbl val="0"/>
      </c:catAx>
      <c:valAx>
        <c:axId val="68197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6819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0"/>
        <c:txPr>
          <a:bodyPr rot="0" spcFirstLastPara="1" vertOverflow="ellipsis" vert="horz" wrap="square" anchor="ctr" anchorCtr="1"/>
          <a:lstStyle/>
          <a:p>
            <a:pPr>
              <a:defRPr lang="zh-CN" sz="900" b="1" i="0" u="none" strike="noStrike" kern="1200" baseline="0">
                <a:solidFill>
                  <a:srgbClr val="FF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18415</xdr:colOff>
      <xdr:row>17</xdr:row>
      <xdr:rowOff>144145</xdr:rowOff>
    </xdr:from>
    <xdr:to>
      <xdr:col>11</xdr:col>
      <xdr:colOff>563842</xdr:colOff>
      <xdr:row>29</xdr:row>
      <xdr:rowOff>171039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251460</xdr:colOff>
          <xdr:row>0</xdr:row>
          <xdr:rowOff>137160</xdr:rowOff>
        </xdr:from>
        <xdr:to>
          <xdr:col>8</xdr:col>
          <xdr:colOff>304800</xdr:colOff>
          <xdr:row>4</xdr:row>
          <xdr:rowOff>121920</xdr:rowOff>
        </xdr:to>
        <xdr:sp macro="" textlink="">
          <xdr:nvSpPr>
            <xdr:cNvPr id="1028" name="SaveFile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80808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165735</xdr:colOff>
      <xdr:row>5</xdr:row>
      <xdr:rowOff>46990</xdr:rowOff>
    </xdr:from>
    <xdr:to>
      <xdr:col>12</xdr:col>
      <xdr:colOff>464185</xdr:colOff>
      <xdr:row>17</xdr:row>
      <xdr:rowOff>53340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1325" y="995680"/>
          <a:ext cx="4942840" cy="2317750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使用说明</a:t>
          </a:r>
          <a:endParaRPr lang="en-US" altLang="zh-CN" sz="1400" b="1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调节各分区长度，确保总的大小跟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存储大小相同（差异为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0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），长度调节单位必须是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4096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字节（一个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block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大小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4KB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）的整数倍。目前只支持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xknl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、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zknl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、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dlmo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和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data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四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个分区长度调节。</a:t>
          </a:r>
          <a:endParaRPr lang="en-US" altLang="zh-CN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点击“生成”按钮，将当前配置保存到文件，在保存前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excel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对数据做合法法校验；</a:t>
          </a:r>
        </a:p>
        <a:p>
          <a:pPr algn="l"/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3. 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分区表的总大小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与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选型配置大小之间的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“</a:t>
          </a:r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未分配大小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”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在调整后保证为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0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</a:p>
        <a:p>
          <a:pPr algn="l"/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注意事项：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data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分区会用来存放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升级包。若支持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功能，分区最小保持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360K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，差分包大小不超过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。若不支持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128K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>
            <a:latin typeface="微软雅黑" panose="020B0503020204020204" pitchFamily="34" charset="-122"/>
            <a:ea typeface="微软雅黑" panose="020B0503020204020204" pitchFamily="34" charset="-122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4"/>
  <sheetViews>
    <sheetView tabSelected="1" workbookViewId="0">
      <selection activeCell="Q27" sqref="Q27"/>
    </sheetView>
  </sheetViews>
  <sheetFormatPr defaultColWidth="8.88671875" defaultRowHeight="14.4" x14ac:dyDescent="0.25"/>
  <cols>
    <col min="1" max="1" width="14" style="2" customWidth="1"/>
    <col min="2" max="2" width="12.109375" style="2" customWidth="1"/>
    <col min="3" max="3" width="19.88671875" style="2" customWidth="1"/>
    <col min="4" max="4" width="14.5546875" style="2" customWidth="1"/>
    <col min="5" max="5" width="16.88671875" style="2" customWidth="1"/>
    <col min="6" max="6" width="13.88671875" style="2" customWidth="1"/>
    <col min="7" max="13" width="8.88671875" style="2"/>
    <col min="14" max="14" width="7.21875" style="2" customWidth="1"/>
    <col min="15" max="15" width="8.21875" style="2" customWidth="1"/>
    <col min="16" max="16" width="11.88671875" style="2" customWidth="1"/>
    <col min="17" max="17" width="10.5546875" style="2" customWidth="1"/>
    <col min="18" max="16384" width="8.88671875" style="2"/>
  </cols>
  <sheetData>
    <row r="1" spans="1:6" s="1" customFormat="1" x14ac:dyDescent="0.25">
      <c r="A1" s="28" t="s">
        <v>0</v>
      </c>
      <c r="B1" s="28" t="s">
        <v>1</v>
      </c>
      <c r="C1" s="24" t="s">
        <v>2</v>
      </c>
      <c r="D1" s="24"/>
      <c r="E1" s="3" t="s">
        <v>3</v>
      </c>
      <c r="F1" s="4"/>
    </row>
    <row r="2" spans="1:6" s="1" customFormat="1" x14ac:dyDescent="0.25">
      <c r="A2" s="29"/>
      <c r="B2" s="29"/>
      <c r="C2" s="5" t="s">
        <v>4</v>
      </c>
      <c r="D2" s="5" t="s">
        <v>5</v>
      </c>
      <c r="E2" s="5" t="s">
        <v>5</v>
      </c>
      <c r="F2" s="4"/>
    </row>
    <row r="3" spans="1:6" s="1" customFormat="1" ht="15.6" x14ac:dyDescent="0.25">
      <c r="A3" s="6" t="s">
        <v>6</v>
      </c>
      <c r="B3" s="7" t="s">
        <v>7</v>
      </c>
      <c r="C3" s="8">
        <v>36</v>
      </c>
      <c r="D3" s="8">
        <f>C3*1024</f>
        <v>36864</v>
      </c>
      <c r="E3" s="7" t="str">
        <f>"0x"&amp;DEC2HEX(D3,8)</f>
        <v>0x00009000</v>
      </c>
      <c r="F3" s="4"/>
    </row>
    <row r="4" spans="1:6" s="1" customFormat="1" ht="15.6" x14ac:dyDescent="0.25">
      <c r="A4" s="6" t="s">
        <v>8</v>
      </c>
      <c r="B4" s="7" t="str">
        <f t="shared" ref="B4:B13" si="0">"0x"&amp;DEC2HEX(HEX2DEC(RIGHT(B3,LEN(B3)-2))+HEX2DEC(RIGHT(E3,LEN(E3)-2)),8)</f>
        <v>0x00009000</v>
      </c>
      <c r="C4" s="8">
        <v>4</v>
      </c>
      <c r="D4" s="8">
        <f>C4*1024</f>
        <v>4096</v>
      </c>
      <c r="E4" s="7" t="str">
        <f>"0x"&amp;DEC2HEX(D4,8)</f>
        <v>0x00001000</v>
      </c>
      <c r="F4" s="4"/>
    </row>
    <row r="5" spans="1:6" s="1" customFormat="1" ht="15.6" x14ac:dyDescent="0.25">
      <c r="A5" s="6" t="s">
        <v>9</v>
      </c>
      <c r="B5" s="7" t="str">
        <f t="shared" si="0"/>
        <v>0x0000A000</v>
      </c>
      <c r="C5" s="8">
        <v>4</v>
      </c>
      <c r="D5" s="8">
        <f>C5*1024</f>
        <v>4096</v>
      </c>
      <c r="E5" s="7" t="str">
        <f>"0x"&amp;DEC2HEX(D5,8)</f>
        <v>0x00001000</v>
      </c>
      <c r="F5" s="4"/>
    </row>
    <row r="6" spans="1:6" s="1" customFormat="1" ht="15.6" x14ac:dyDescent="0.25">
      <c r="A6" s="6" t="s">
        <v>10</v>
      </c>
      <c r="B6" s="7" t="str">
        <f t="shared" si="0"/>
        <v>0x0000B000</v>
      </c>
      <c r="C6" s="8">
        <v>28</v>
      </c>
      <c r="D6" s="8">
        <f t="shared" ref="D6:D13" si="1">C6*1024</f>
        <v>28672</v>
      </c>
      <c r="E6" s="7" t="str">
        <f t="shared" ref="E6:E13" si="2">"0x"&amp;DEC2HEX(D6,8)</f>
        <v>0x00007000</v>
      </c>
      <c r="F6" s="4"/>
    </row>
    <row r="7" spans="1:6" s="1" customFormat="1" ht="15.6" x14ac:dyDescent="0.25">
      <c r="A7" s="6" t="s">
        <v>11</v>
      </c>
      <c r="B7" s="7" t="str">
        <f t="shared" si="0"/>
        <v>0x00012000</v>
      </c>
      <c r="C7" s="8">
        <v>64</v>
      </c>
      <c r="D7" s="8">
        <f t="shared" si="1"/>
        <v>65536</v>
      </c>
      <c r="E7" s="7" t="str">
        <f t="shared" si="2"/>
        <v>0x00010000</v>
      </c>
      <c r="F7" s="4"/>
    </row>
    <row r="8" spans="1:6" s="1" customFormat="1" ht="15.6" x14ac:dyDescent="0.25">
      <c r="A8" s="6" t="s">
        <v>12</v>
      </c>
      <c r="B8" s="7" t="str">
        <f t="shared" si="0"/>
        <v>0x00022000</v>
      </c>
      <c r="C8" s="8">
        <v>4</v>
      </c>
      <c r="D8" s="8">
        <f t="shared" si="1"/>
        <v>4096</v>
      </c>
      <c r="E8" s="7" t="str">
        <f t="shared" si="2"/>
        <v>0x00001000</v>
      </c>
      <c r="F8" s="4"/>
    </row>
    <row r="9" spans="1:6" s="1" customFormat="1" ht="15.6" x14ac:dyDescent="0.25">
      <c r="A9" s="6" t="s">
        <v>13</v>
      </c>
      <c r="B9" s="7" t="str">
        <f t="shared" si="0"/>
        <v>0x00023000</v>
      </c>
      <c r="C9" s="8">
        <v>24</v>
      </c>
      <c r="D9" s="8">
        <f t="shared" si="1"/>
        <v>24576</v>
      </c>
      <c r="E9" s="7" t="str">
        <f t="shared" si="2"/>
        <v>0x00006000</v>
      </c>
      <c r="F9" s="4"/>
    </row>
    <row r="10" spans="1:6" s="1" customFormat="1" ht="15.6" x14ac:dyDescent="0.25">
      <c r="A10" s="6" t="s">
        <v>14</v>
      </c>
      <c r="B10" s="7" t="str">
        <f t="shared" si="0"/>
        <v>0x00029000</v>
      </c>
      <c r="C10" s="9">
        <v>568</v>
      </c>
      <c r="D10" s="8">
        <f t="shared" si="1"/>
        <v>581632</v>
      </c>
      <c r="E10" s="7" t="str">
        <f t="shared" si="2"/>
        <v>0x0008E000</v>
      </c>
      <c r="F10" s="4"/>
    </row>
    <row r="11" spans="1:6" s="1" customFormat="1" ht="15.6" x14ac:dyDescent="0.25">
      <c r="A11" s="6" t="s">
        <v>15</v>
      </c>
      <c r="B11" s="7" t="str">
        <f t="shared" si="0"/>
        <v>0x000B7000</v>
      </c>
      <c r="C11" s="9">
        <v>640</v>
      </c>
      <c r="D11" s="8">
        <f t="shared" si="1"/>
        <v>655360</v>
      </c>
      <c r="E11" s="7" t="str">
        <f t="shared" si="2"/>
        <v>0x000A0000</v>
      </c>
      <c r="F11" s="4"/>
    </row>
    <row r="12" spans="1:6" s="1" customFormat="1" ht="15.6" x14ac:dyDescent="0.25">
      <c r="A12" s="6" t="s">
        <v>16</v>
      </c>
      <c r="B12" s="7" t="str">
        <f t="shared" si="0"/>
        <v>0x00157000</v>
      </c>
      <c r="C12" s="9">
        <v>320</v>
      </c>
      <c r="D12" s="8">
        <f t="shared" si="1"/>
        <v>327680</v>
      </c>
      <c r="E12" s="7" t="str">
        <f t="shared" si="2"/>
        <v>0x00050000</v>
      </c>
      <c r="F12" s="4"/>
    </row>
    <row r="13" spans="1:6" s="1" customFormat="1" ht="15.6" x14ac:dyDescent="0.25">
      <c r="A13" s="6" t="s">
        <v>17</v>
      </c>
      <c r="B13" s="7" t="str">
        <f t="shared" si="0"/>
        <v>0x001A7000</v>
      </c>
      <c r="C13" s="9">
        <v>356</v>
      </c>
      <c r="D13" s="8">
        <f t="shared" si="1"/>
        <v>364544</v>
      </c>
      <c r="E13" s="7" t="str">
        <f t="shared" si="2"/>
        <v>0x00059000</v>
      </c>
      <c r="F13" s="4"/>
    </row>
    <row r="14" spans="1:6" s="1" customFormat="1" x14ac:dyDescent="0.25">
      <c r="A14" s="10" t="s">
        <v>18</v>
      </c>
      <c r="B14" s="10"/>
      <c r="C14" s="10"/>
      <c r="D14" s="11"/>
      <c r="E14" s="12">
        <f>D17*1024</f>
        <v>0</v>
      </c>
    </row>
    <row r="15" spans="1:6" s="1" customFormat="1" x14ac:dyDescent="0.25">
      <c r="A15" s="30" t="s">
        <v>19</v>
      </c>
      <c r="B15" s="33">
        <v>2048</v>
      </c>
      <c r="C15" s="13" t="s">
        <v>20</v>
      </c>
      <c r="D15" s="14">
        <f>SUM(C3:C13)</f>
        <v>2048</v>
      </c>
      <c r="E15" s="14" t="s">
        <v>21</v>
      </c>
      <c r="F15" s="4"/>
    </row>
    <row r="16" spans="1:6" s="1" customFormat="1" x14ac:dyDescent="0.25">
      <c r="A16" s="31"/>
      <c r="B16" s="34"/>
      <c r="C16" s="13" t="s">
        <v>22</v>
      </c>
      <c r="D16" s="14">
        <f>B15</f>
        <v>2048</v>
      </c>
      <c r="E16" s="14" t="s">
        <v>21</v>
      </c>
      <c r="F16" s="4"/>
    </row>
    <row r="17" spans="1:18" s="1" customFormat="1" x14ac:dyDescent="0.25">
      <c r="A17" s="32"/>
      <c r="B17" s="35"/>
      <c r="C17" s="15" t="s">
        <v>23</v>
      </c>
      <c r="D17" s="16">
        <f>(D16-D15)</f>
        <v>0</v>
      </c>
      <c r="E17" s="14" t="s">
        <v>21</v>
      </c>
      <c r="F17" s="4"/>
    </row>
    <row r="18" spans="1:18" s="1" customFormat="1" x14ac:dyDescent="0.25">
      <c r="A18" s="17"/>
      <c r="B18" s="17"/>
      <c r="C18" s="17"/>
      <c r="D18" s="17"/>
      <c r="E18" s="17"/>
      <c r="F18" s="17"/>
      <c r="N18" s="19"/>
      <c r="O18" s="19"/>
      <c r="P18" s="19"/>
      <c r="Q18" s="19"/>
    </row>
    <row r="19" spans="1:18" s="1" customFormat="1" ht="15.6" x14ac:dyDescent="0.35">
      <c r="M19" s="20"/>
      <c r="N19" s="25" t="s">
        <v>24</v>
      </c>
      <c r="O19" s="26"/>
      <c r="P19" s="26"/>
      <c r="Q19" s="27"/>
      <c r="R19" s="4"/>
    </row>
    <row r="20" spans="1:18" s="1" customFormat="1" ht="15.6" x14ac:dyDescent="0.25">
      <c r="M20" s="20"/>
      <c r="N20" s="21" t="s">
        <v>25</v>
      </c>
      <c r="O20" s="21" t="s">
        <v>26</v>
      </c>
      <c r="P20" s="21" t="s">
        <v>0</v>
      </c>
      <c r="Q20" s="21" t="s">
        <v>27</v>
      </c>
      <c r="R20" s="4"/>
    </row>
    <row r="21" spans="1:18" s="1" customFormat="1" ht="15.6" x14ac:dyDescent="0.35">
      <c r="M21" s="20"/>
      <c r="N21" s="36" t="s">
        <v>28</v>
      </c>
      <c r="O21" s="36" t="s">
        <v>29</v>
      </c>
      <c r="P21" s="22" t="s">
        <v>14</v>
      </c>
      <c r="Q21" s="23">
        <v>888</v>
      </c>
      <c r="R21" s="4"/>
    </row>
    <row r="22" spans="1:18" s="1" customFormat="1" ht="15.6" x14ac:dyDescent="0.35">
      <c r="M22" s="20"/>
      <c r="N22" s="37"/>
      <c r="O22" s="37"/>
      <c r="P22" s="22" t="s">
        <v>15</v>
      </c>
      <c r="Q22" s="23">
        <v>640</v>
      </c>
      <c r="R22" s="4"/>
    </row>
    <row r="23" spans="1:18" s="1" customFormat="1" ht="15.6" x14ac:dyDescent="0.35">
      <c r="M23" s="20"/>
      <c r="N23" s="38"/>
      <c r="O23" s="38"/>
      <c r="P23" s="22" t="s">
        <v>17</v>
      </c>
      <c r="Q23" s="23">
        <v>356</v>
      </c>
      <c r="R23" s="4"/>
    </row>
    <row r="24" spans="1:18" s="1" customFormat="1" ht="15.6" x14ac:dyDescent="0.35">
      <c r="M24" s="20"/>
      <c r="N24" s="36" t="s">
        <v>30</v>
      </c>
      <c r="O24" s="36" t="s">
        <v>31</v>
      </c>
      <c r="P24" s="22" t="s">
        <v>14</v>
      </c>
      <c r="Q24" s="23">
        <v>2736</v>
      </c>
      <c r="R24" s="4"/>
    </row>
    <row r="25" spans="1:18" s="1" customFormat="1" ht="15.6" x14ac:dyDescent="0.35">
      <c r="M25" s="20"/>
      <c r="N25" s="37"/>
      <c r="O25" s="37"/>
      <c r="P25" s="22" t="s">
        <v>15</v>
      </c>
      <c r="Q25" s="23">
        <v>640</v>
      </c>
      <c r="R25" s="4"/>
    </row>
    <row r="26" spans="1:18" s="1" customFormat="1" ht="15.6" x14ac:dyDescent="0.35">
      <c r="M26" s="20"/>
      <c r="N26" s="38"/>
      <c r="O26" s="38"/>
      <c r="P26" s="22" t="s">
        <v>17</v>
      </c>
      <c r="Q26" s="23">
        <v>556</v>
      </c>
      <c r="R26" s="4"/>
    </row>
    <row r="27" spans="1:18" s="1" customFormat="1" ht="15.6" x14ac:dyDescent="0.35">
      <c r="M27" s="20"/>
      <c r="N27" s="36" t="s">
        <v>32</v>
      </c>
      <c r="O27" s="36"/>
      <c r="P27" s="22"/>
      <c r="Q27" s="23"/>
      <c r="R27" s="4"/>
    </row>
    <row r="28" spans="1:18" s="1" customFormat="1" ht="15.6" x14ac:dyDescent="0.35">
      <c r="M28" s="20"/>
      <c r="N28" s="37"/>
      <c r="O28" s="37"/>
      <c r="P28" s="22"/>
      <c r="Q28" s="23"/>
      <c r="R28" s="4"/>
    </row>
    <row r="29" spans="1:18" s="1" customFormat="1" ht="15.6" x14ac:dyDescent="0.35">
      <c r="M29" s="20"/>
      <c r="N29" s="38"/>
      <c r="O29" s="38"/>
      <c r="P29" s="22"/>
      <c r="Q29" s="23"/>
      <c r="R29" s="4"/>
    </row>
    <row r="30" spans="1:18" s="1" customFormat="1" ht="15.6" x14ac:dyDescent="0.35">
      <c r="M30" s="20"/>
      <c r="N30" s="36" t="s">
        <v>33</v>
      </c>
      <c r="O30" s="36"/>
      <c r="P30" s="22"/>
      <c r="Q30" s="23"/>
      <c r="R30" s="4"/>
    </row>
    <row r="31" spans="1:18" s="1" customFormat="1" ht="15.6" x14ac:dyDescent="0.35">
      <c r="N31" s="37"/>
      <c r="O31" s="37"/>
      <c r="P31" s="22"/>
      <c r="Q31" s="23"/>
    </row>
    <row r="32" spans="1:18" s="1" customFormat="1" ht="15.6" x14ac:dyDescent="0.35">
      <c r="N32" s="38"/>
      <c r="O32" s="38"/>
      <c r="P32" s="22"/>
      <c r="Q32" s="23"/>
    </row>
    <row r="33" spans="6:6" s="1" customFormat="1" x14ac:dyDescent="0.25"/>
    <row r="34" spans="6:6" x14ac:dyDescent="0.25">
      <c r="F34" s="18"/>
    </row>
  </sheetData>
  <mergeCells count="14">
    <mergeCell ref="N21:N23"/>
    <mergeCell ref="N24:N26"/>
    <mergeCell ref="N27:N29"/>
    <mergeCell ref="N30:N32"/>
    <mergeCell ref="O21:O23"/>
    <mergeCell ref="O24:O26"/>
    <mergeCell ref="O27:O29"/>
    <mergeCell ref="O30:O32"/>
    <mergeCell ref="C1:D1"/>
    <mergeCell ref="N19:Q19"/>
    <mergeCell ref="A1:A2"/>
    <mergeCell ref="A15:A17"/>
    <mergeCell ref="B1:B2"/>
    <mergeCell ref="B15:B17"/>
  </mergeCells>
  <phoneticPr fontId="10" type="noConversion"/>
  <conditionalFormatting sqref="C10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{88CDA011-42BA-4D50-96DF-77159E95F2EA}</x14:id>
        </ext>
      </extLst>
    </cfRule>
  </conditionalFormatting>
  <conditionalFormatting sqref="C1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{7CE62903-A18A-4036-A0F4-EC281B30603F}</x14:id>
        </ext>
      </extLst>
    </cfRule>
  </conditionalFormatting>
  <conditionalFormatting sqref="C1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{CBB20DDB-EEEB-4387-B13D-34CDD7A46BD3}</x14:id>
        </ext>
      </extLst>
    </cfRule>
  </conditionalFormatting>
  <conditionalFormatting sqref="C13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{0CAC90FE-958E-4267-AB6C-A1DC122E553B}</x14:id>
        </ext>
      </extLst>
    </cfRule>
  </conditionalFormatting>
  <conditionalFormatting sqref="B15:B17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{1207D5BC-FC22-45C9-985A-FF1C103651C1}</x14:id>
        </ext>
      </extLst>
    </cfRule>
  </conditionalFormatting>
  <dataValidations count="1">
    <dataValidation type="list" allowBlank="1" showInputMessage="1" showErrorMessage="1" sqref="B15:B17" xr:uid="{00000000-0002-0000-0000-000000000000}">
      <formula1>"4096,8192,2048"</formula1>
    </dataValidation>
  </dataValidations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1028" r:id="rId3" name="SaveFileButton">
          <controlPr defaultSize="0" altText="" r:id="rId4">
            <anchor moveWithCells="1">
              <from>
                <xdr:col>5</xdr:col>
                <xdr:colOff>251460</xdr:colOff>
                <xdr:row>0</xdr:row>
                <xdr:rowOff>137160</xdr:rowOff>
              </from>
              <to>
                <xdr:col>8</xdr:col>
                <xdr:colOff>548640</xdr:colOff>
                <xdr:row>4</xdr:row>
                <xdr:rowOff>68580</xdr:rowOff>
              </to>
            </anchor>
          </controlPr>
        </control>
      </mc:Choice>
      <mc:Fallback>
        <control shapeId="1028" r:id="rId3" name="SaveFile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CDA011-42BA-4D50-96DF-77159E95F2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C10</xm:sqref>
        </x14:conditionalFormatting>
        <x14:conditionalFormatting xmlns:xm="http://schemas.microsoft.com/office/excel/2006/main">
          <x14:cfRule type="dataBar" id="{7CE62903-A18A-4036-A0F4-EC281B3060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C11</xm:sqref>
        </x14:conditionalFormatting>
        <x14:conditionalFormatting xmlns:xm="http://schemas.microsoft.com/office/excel/2006/main">
          <x14:cfRule type="dataBar" id="{CBB20DDB-EEEB-4387-B13D-34CDD7A46B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C12</xm:sqref>
        </x14:conditionalFormatting>
        <x14:conditionalFormatting xmlns:xm="http://schemas.microsoft.com/office/excel/2006/main">
          <x14:cfRule type="dataBar" id="{0CAC90FE-958E-4267-AB6C-A1DC122E553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C13</xm:sqref>
        </x14:conditionalFormatting>
        <x14:conditionalFormatting xmlns:xm="http://schemas.microsoft.com/office/excel/2006/main">
          <x14:cfRule type="dataBar" id="{1207D5BC-FC22-45C9-985A-FF1C103651C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B15:B17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分区配置生成工具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eyinwng</dc:creator>
  <cp:lastModifiedBy>全 周</cp:lastModifiedBy>
  <dcterms:created xsi:type="dcterms:W3CDTF">2006-09-16T00:00:00Z</dcterms:created>
  <dcterms:modified xsi:type="dcterms:W3CDTF">2025-07-08T11:45:00Z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B5737496D59049B382BFE78848157AD0_13</vt:lpwstr>
  </property>
  <property fmtid="{D5CDD505-2E9C-101B-9397-08002B2CF9AE}" pid="3" name="KSOProductBuildVer">
    <vt:lpwstr>2052-12.1.0.15712</vt:lpwstr>
  </property>
</Properties>
</file>