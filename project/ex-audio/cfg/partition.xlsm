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065" windowHeight="12150"/>
  </bookViews>
  <sheets>
    <sheet name="分区配置生成工具" sheetId="1" r:id="rId1"/>
  </sheets>
  <definedNames>
    <definedName name="_xlnm._FilterDatabase" localSheetId="0" hidden="1">分区配置生成工具!$A$14:$E$16</definedName>
  </definedNames>
  <calcPr calcId="144525"/>
</workbook>
</file>

<file path=xl/sharedStrings.xml><?xml version="1.0" encoding="utf-8"?>
<sst xmlns="http://schemas.openxmlformats.org/spreadsheetml/2006/main" count="43" uniqueCount="33">
  <si>
    <t>分区</t>
  </si>
  <si>
    <t>起始地址</t>
  </si>
  <si>
    <t>十进制</t>
  </si>
  <si>
    <t>十六进制</t>
  </si>
  <si>
    <t>分区长度(KB)</t>
  </si>
  <si>
    <t>分区长度(B)</t>
  </si>
  <si>
    <t>mbl</t>
  </si>
  <si>
    <t>0x00000000</t>
  </si>
  <si>
    <t>part_tbl</t>
  </si>
  <si>
    <t>xip</t>
  </si>
  <si>
    <t>nvf</t>
  </si>
  <si>
    <t>xboot</t>
  </si>
  <si>
    <t>cmn</t>
  </si>
  <si>
    <t>nvd</t>
  </si>
  <si>
    <t>xknl</t>
  </si>
  <si>
    <t>zknl</t>
  </si>
  <si>
    <t>data</t>
  </si>
  <si>
    <t>未分配</t>
  </si>
  <si>
    <t>FLASH选型配置
（ KB ）</t>
  </si>
  <si>
    <t>FLASH分区表总大小</t>
  </si>
  <si>
    <r>
      <rPr>
        <sz val="11"/>
        <color theme="1"/>
        <rFont val="黑体"/>
        <charset val="134"/>
      </rPr>
      <t>K</t>
    </r>
    <r>
      <rPr>
        <sz val="11"/>
        <color theme="1"/>
        <rFont val="黑体"/>
        <charset val="134"/>
      </rPr>
      <t>B</t>
    </r>
  </si>
  <si>
    <t>FLASH选型配置大小</t>
  </si>
  <si>
    <t>未分配大小</t>
  </si>
  <si>
    <t>附: 参考Flash配置</t>
  </si>
  <si>
    <t>示例</t>
  </si>
  <si>
    <t>容量</t>
  </si>
  <si>
    <t>长度(KB)</t>
  </si>
  <si>
    <t>示例1</t>
  </si>
  <si>
    <t>2MB</t>
  </si>
  <si>
    <t>示例2</t>
  </si>
  <si>
    <t>4MB</t>
  </si>
  <si>
    <t>示例3</t>
  </si>
  <si>
    <t>示例4</t>
  </si>
</sst>
</file>

<file path=xl/styles.xml><?xml version="1.0" encoding="utf-8"?>
<styleSheet xmlns="http://schemas.openxmlformats.org/spreadsheetml/2006/main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#,##0_ "/>
  </numFmts>
  <fonts count="29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2"/>
      <color theme="1"/>
      <name val="黑体"/>
      <charset val="134"/>
    </font>
    <font>
      <b/>
      <sz val="11"/>
      <color theme="1"/>
      <name val="黑体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b/>
      <sz val="11"/>
      <color rgb="FFFF0000"/>
      <name val="黑体"/>
      <charset val="134"/>
    </font>
    <font>
      <sz val="11"/>
      <color indexed="8"/>
      <name val="宋体"/>
      <charset val="134"/>
      <scheme val="minor"/>
    </font>
    <font>
      <b/>
      <sz val="11"/>
      <color theme="1"/>
      <name val="微软雅黑 Light"/>
      <charset val="134"/>
    </font>
    <font>
      <sz val="11"/>
      <color theme="1"/>
      <name val="微软雅黑 Light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0" tint="-0.149906918546098"/>
        <bgColor indexed="64"/>
      </patternFill>
    </fill>
    <fill>
      <patternFill patternType="solid">
        <fgColor theme="0" tint="-0.14993743705557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1" fillId="9" borderId="1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3" borderId="18" applyNumberFormat="0" applyFont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19" applyNumberFormat="0" applyFill="0" applyAlignment="0" applyProtection="0">
      <alignment vertical="center"/>
    </xf>
    <xf numFmtId="0" fontId="21" fillId="0" borderId="19" applyNumberFormat="0" applyFill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6" fillId="0" borderId="20" applyNumberFormat="0" applyFill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22" fillId="17" borderId="21" applyNumberFormat="0" applyAlignment="0" applyProtection="0">
      <alignment vertical="center"/>
    </xf>
    <xf numFmtId="0" fontId="23" fillId="17" borderId="17" applyNumberFormat="0" applyAlignment="0" applyProtection="0">
      <alignment vertical="center"/>
    </xf>
    <xf numFmtId="0" fontId="24" fillId="18" borderId="22" applyNumberFormat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25" fillId="0" borderId="23" applyNumberFormat="0" applyFill="0" applyAlignment="0" applyProtection="0">
      <alignment vertical="center"/>
    </xf>
    <xf numFmtId="0" fontId="26" fillId="0" borderId="24" applyNumberFormat="0" applyFill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3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13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13" fillId="38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1" xfId="0" applyBorder="1" applyProtection="1">
      <protection locked="0"/>
    </xf>
    <xf numFmtId="0" fontId="0" fillId="0" borderId="1" xfId="0" applyBorder="1" applyProtection="1"/>
    <xf numFmtId="0" fontId="1" fillId="2" borderId="2" xfId="0" applyFont="1" applyFill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3" borderId="2" xfId="0" applyFont="1" applyFill="1" applyBorder="1" applyAlignment="1" applyProtection="1">
      <alignment horizontal="right"/>
      <protection locked="0"/>
    </xf>
    <xf numFmtId="0" fontId="1" fillId="2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alignment horizontal="right"/>
      <protection locked="0"/>
    </xf>
    <xf numFmtId="176" fontId="1" fillId="4" borderId="2" xfId="0" applyNumberFormat="1" applyFont="1" applyFill="1" applyBorder="1" applyProtection="1">
      <protection locked="0"/>
    </xf>
    <xf numFmtId="176" fontId="3" fillId="5" borderId="2" xfId="0" applyNumberFormat="1" applyFont="1" applyFill="1" applyBorder="1" applyProtection="1">
      <protection locked="0"/>
    </xf>
    <xf numFmtId="0" fontId="4" fillId="0" borderId="4" xfId="0" applyFont="1" applyBorder="1" applyProtection="1">
      <protection locked="0"/>
    </xf>
    <xf numFmtId="176" fontId="4" fillId="0" borderId="4" xfId="0" applyNumberFormat="1" applyFont="1" applyBorder="1" applyProtection="1">
      <protection locked="0"/>
    </xf>
    <xf numFmtId="176" fontId="5" fillId="6" borderId="2" xfId="0" applyNumberFormat="1" applyFont="1" applyFill="1" applyBorder="1" applyProtection="1">
      <protection locked="0"/>
    </xf>
    <xf numFmtId="0" fontId="1" fillId="7" borderId="5" xfId="0" applyFont="1" applyFill="1" applyBorder="1" applyAlignment="1" applyProtection="1">
      <alignment horizontal="center" vertical="center" wrapText="1"/>
      <protection locked="0"/>
    </xf>
    <xf numFmtId="0" fontId="1" fillId="5" borderId="6" xfId="0" applyFont="1" applyFill="1" applyBorder="1" applyAlignment="1" applyProtection="1">
      <alignment horizontal="center" vertical="center"/>
      <protection locked="0"/>
    </xf>
    <xf numFmtId="0" fontId="1" fillId="6" borderId="7" xfId="0" applyFont="1" applyFill="1" applyBorder="1" applyAlignment="1" applyProtection="1">
      <alignment horizontal="right"/>
      <protection locked="0"/>
    </xf>
    <xf numFmtId="176" fontId="1" fillId="0" borderId="7" xfId="0" applyNumberFormat="1" applyFont="1" applyBorder="1" applyProtection="1">
      <protection locked="0"/>
    </xf>
    <xf numFmtId="0" fontId="1" fillId="7" borderId="8" xfId="0" applyFont="1" applyFill="1" applyBorder="1" applyAlignment="1" applyProtection="1">
      <alignment horizontal="center" vertical="center" wrapText="1"/>
      <protection locked="0"/>
    </xf>
    <xf numFmtId="0" fontId="1" fillId="5" borderId="9" xfId="0" applyFont="1" applyFill="1" applyBorder="1" applyAlignment="1" applyProtection="1">
      <alignment horizontal="center" vertical="center"/>
      <protection locked="0"/>
    </xf>
    <xf numFmtId="0" fontId="1" fillId="7" borderId="10" xfId="0" applyFont="1" applyFill="1" applyBorder="1" applyAlignment="1" applyProtection="1">
      <alignment horizontal="center" vertical="center" wrapText="1"/>
      <protection locked="0"/>
    </xf>
    <xf numFmtId="0" fontId="1" fillId="5" borderId="11" xfId="0" applyFont="1" applyFill="1" applyBorder="1" applyAlignment="1" applyProtection="1">
      <alignment horizontal="center" vertical="center"/>
      <protection locked="0"/>
    </xf>
    <xf numFmtId="0" fontId="6" fillId="7" borderId="7" xfId="0" applyFont="1" applyFill="1" applyBorder="1" applyAlignment="1" applyProtection="1">
      <alignment horizontal="right"/>
      <protection locked="0"/>
    </xf>
    <xf numFmtId="176" fontId="6" fillId="5" borderId="7" xfId="0" applyNumberFormat="1" applyFont="1" applyFill="1" applyBorder="1" applyProtection="1">
      <protection locked="0"/>
    </xf>
    <xf numFmtId="0" fontId="0" fillId="0" borderId="12" xfId="0" applyBorder="1" applyProtection="1">
      <protection locked="0"/>
    </xf>
    <xf numFmtId="0" fontId="7" fillId="0" borderId="1" xfId="0" applyFont="1" applyBorder="1" applyProtection="1"/>
    <xf numFmtId="0" fontId="0" fillId="0" borderId="4" xfId="0" applyBorder="1" applyProtection="1">
      <protection locked="0"/>
    </xf>
    <xf numFmtId="0" fontId="0" fillId="0" borderId="13" xfId="0" applyBorder="1" applyProtection="1">
      <protection locked="0"/>
    </xf>
    <xf numFmtId="0" fontId="8" fillId="7" borderId="14" xfId="0" applyFont="1" applyFill="1" applyBorder="1" applyAlignment="1" applyProtection="1">
      <alignment horizontal="left"/>
      <protection locked="0"/>
    </xf>
    <xf numFmtId="0" fontId="8" fillId="7" borderId="15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 vertical="center"/>
      <protection locked="0"/>
    </xf>
    <xf numFmtId="0" fontId="9" fillId="0" borderId="6" xfId="0" applyFont="1" applyBorder="1" applyAlignment="1" applyProtection="1">
      <alignment horizontal="center" vertical="center"/>
      <protection locked="0"/>
    </xf>
    <xf numFmtId="0" fontId="9" fillId="0" borderId="7" xfId="0" applyFont="1" applyBorder="1" applyProtection="1">
      <protection locked="0"/>
    </xf>
    <xf numFmtId="0" fontId="9" fillId="0" borderId="9" xfId="0" applyFont="1" applyBorder="1" applyAlignment="1" applyProtection="1">
      <alignment horizontal="center" vertical="center"/>
      <protection locked="0"/>
    </xf>
    <xf numFmtId="0" fontId="9" fillId="0" borderId="11" xfId="0" applyFont="1" applyBorder="1" applyAlignment="1" applyProtection="1">
      <alignment horizontal="center" vertical="center"/>
      <protection locked="0"/>
    </xf>
    <xf numFmtId="0" fontId="8" fillId="7" borderId="16" xfId="0" applyFont="1" applyFill="1" applyBorder="1" applyAlignment="1" applyProtection="1">
      <alignment horizontal="left"/>
      <protection locked="0"/>
    </xf>
    <xf numFmtId="0" fontId="9" fillId="0" borderId="7" xfId="0" applyFont="1" applyBorder="1" applyAlignment="1" applyProtection="1">
      <alignment horizontal="center"/>
      <protection locked="0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colors>
    <mruColors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  <a:r>
              <a:rPr lang="zh-CN"/>
              <a:t>分区</a:t>
            </a:r>
            <a:r>
              <a:rPr lang="zh-CN" altLang="en-US"/>
              <a:t>长度（</a:t>
            </a:r>
            <a:r>
              <a:rPr lang="en-US" altLang="zh-CN"/>
              <a:t>KB)</a:t>
            </a:r>
            <a:endParaRPr lang="zh-CN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0768997315279561"/>
          <c:y val="0.199086989601826"/>
          <c:w val="0.902760592973036"/>
          <c:h val="0.55627694648744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"mbl"</c:f>
              <c:strCache>
                <c:ptCount val="1"/>
                <c:pt idx="0">
                  <c:v>mbl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分区配置生成工具!$C$3</c:f>
              <c:numCache>
                <c:formatCode>#,##0_ </c:formatCode>
                <c:ptCount val="1"/>
                <c:pt idx="0">
                  <c:v>32</c:v>
                </c:pt>
              </c:numCache>
            </c:numRef>
          </c:val>
        </c:ser>
        <c:ser>
          <c:idx val="1"/>
          <c:order val="1"/>
          <c:tx>
            <c:strRef>
              <c:f>"part_tbl"</c:f>
              <c:strCache>
                <c:ptCount val="1"/>
                <c:pt idx="0">
                  <c:v>part_tbl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分区配置生成工具!$C$4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6"/>
          <c:order val="2"/>
          <c:tx>
            <c:strRef>
              <c:f>"xip"</c:f>
              <c:strCache>
                <c:ptCount val="1"/>
                <c:pt idx="0">
                  <c:v>xip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{1}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2"/>
          <c:order val="3"/>
          <c:tx>
            <c:strRef>
              <c:f>"nvf"</c:f>
              <c:strCache>
                <c:ptCount val="1"/>
                <c:pt idx="0">
                  <c:v>nvf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分区配置生成工具!$C$6</c:f>
              <c:numCache>
                <c:formatCode>#,##0_ </c:formatCode>
                <c:ptCount val="1"/>
                <c:pt idx="0">
                  <c:v>28</c:v>
                </c:pt>
              </c:numCache>
            </c:numRef>
          </c:val>
        </c:ser>
        <c:ser>
          <c:idx val="3"/>
          <c:order val="4"/>
          <c:tx>
            <c:strRef>
              <c:f>"xboot"</c:f>
              <c:strCache>
                <c:ptCount val="1"/>
                <c:pt idx="0">
                  <c:v>xboot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分区配置生成工具!$C$7</c:f>
              <c:numCache>
                <c:formatCode>#,##0_ </c:formatCode>
                <c:ptCount val="1"/>
                <c:pt idx="0">
                  <c:v>64</c:v>
                </c:pt>
              </c:numCache>
            </c:numRef>
          </c:val>
        </c:ser>
        <c:ser>
          <c:idx val="4"/>
          <c:order val="5"/>
          <c:tx>
            <c:strRef>
              <c:f>"cmn"</c:f>
              <c:strCache>
                <c:ptCount val="1"/>
                <c:pt idx="0">
                  <c:v>cmn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分区配置生成工具!$C$8</c:f>
              <c:numCache>
                <c:formatCode>#,##0_ </c:formatCode>
                <c:ptCount val="1"/>
                <c:pt idx="0">
                  <c:v>4</c:v>
                </c:pt>
              </c:numCache>
            </c:numRef>
          </c:val>
        </c:ser>
        <c:ser>
          <c:idx val="5"/>
          <c:order val="6"/>
          <c:tx>
            <c:strRef>
              <c:f>"nvd"</c:f>
              <c:strCache>
                <c:ptCount val="1"/>
                <c:pt idx="0">
                  <c:v>nvd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分区配置生成工具!$C$9</c:f>
              <c:numCache>
                <c:formatCode>#,##0_ </c:formatCode>
                <c:ptCount val="1"/>
                <c:pt idx="0">
                  <c:v>24</c:v>
                </c:pt>
              </c:numCache>
            </c:numRef>
          </c:val>
        </c:ser>
        <c:ser>
          <c:idx val="9"/>
          <c:order val="7"/>
          <c:tx>
            <c:strRef>
              <c:f>"zknl"</c:f>
              <c:strCache>
                <c:ptCount val="1"/>
                <c:pt idx="0">
                  <c:v>zknl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分区配置生成工具!$C$10</c:f>
              <c:numCache>
                <c:formatCode>#,##0_ </c:formatCode>
                <c:ptCount val="1"/>
                <c:pt idx="0">
                  <c:v>2736</c:v>
                </c:pt>
              </c:numCache>
            </c:numRef>
          </c:val>
        </c:ser>
        <c:ser>
          <c:idx val="10"/>
          <c:order val="8"/>
          <c:tx>
            <c:strRef>
              <c:f>"xknl"</c:f>
              <c:strCache>
                <c:ptCount val="1"/>
                <c:pt idx="0">
                  <c:v>xknl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分区配置生成工具!$C$11</c:f>
              <c:numCache>
                <c:formatCode>#,##0_ </c:formatCode>
                <c:ptCount val="1"/>
                <c:pt idx="0">
                  <c:v>640</c:v>
                </c:pt>
              </c:numCache>
            </c:numRef>
          </c:val>
        </c:ser>
        <c:ser>
          <c:idx val="11"/>
          <c:order val="9"/>
          <c:tx>
            <c:strRef>
              <c:f>"data"</c:f>
              <c:strCache>
                <c:ptCount val="1"/>
                <c:pt idx="0">
                  <c:v>data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分区配置生成工具!$C$12</c:f>
              <c:numCache>
                <c:formatCode>#,##0_ </c:formatCode>
                <c:ptCount val="1"/>
                <c:pt idx="0">
                  <c:v>560</c:v>
                </c:pt>
              </c:numCache>
            </c:numRef>
          </c:val>
        </c:ser>
        <c:ser>
          <c:idx val="13"/>
          <c:order val="10"/>
          <c:tx>
            <c:strRef>
              <c:f>"未分配"</c:f>
              <c:strCache>
                <c:ptCount val="1"/>
                <c:pt idx="0">
                  <c:v>未分配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微软雅黑" panose="020B0503020204020204" pitchFamily="34" charset="-122"/>
                    <a:ea typeface="微软雅黑" panose="020B0503020204020204" pitchFamily="34" charset="-122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分区配置生成工具!$C$2</c:f>
              <c:strCache>
                <c:ptCount val="1"/>
                <c:pt idx="0">
                  <c:v>分区长度(KB)</c:v>
                </c:pt>
              </c:strCache>
            </c:strRef>
          </c:cat>
          <c:val>
            <c:numRef>
              <c:f>分区配置生成工具!$D$16</c:f>
              <c:numCache>
                <c:formatCode>#,##0_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681967120"/>
        <c:axId val="681978000"/>
      </c:barChart>
      <c:catAx>
        <c:axId val="6819671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78000"/>
        <c:crosses val="autoZero"/>
        <c:auto val="1"/>
        <c:lblAlgn val="ctr"/>
        <c:lblOffset val="100"/>
        <c:noMultiLvlLbl val="0"/>
      </c:catAx>
      <c:valAx>
        <c:axId val="68197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  <c:crossAx val="681967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0"/>
        <c:txPr>
          <a:bodyPr rot="0" spcFirstLastPara="1" vertOverflow="ellipsis" vert="horz" wrap="square" anchor="ctr" anchorCtr="1"/>
          <a:lstStyle/>
          <a:p>
            <a:pPr>
              <a:defRPr lang="zh-CN" sz="900" b="1" i="0" u="none" strike="noStrike" kern="1200" baseline="0">
                <a:solidFill>
                  <a:srgbClr val="FF0000"/>
                </a:solidFill>
                <a:latin typeface="微软雅黑" panose="020B0503020204020204" pitchFamily="34" charset="-122"/>
                <a:ea typeface="微软雅黑" panose="020B0503020204020204" pitchFamily="34" charset="-122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微软雅黑" panose="020B0503020204020204" pitchFamily="34" charset="-122"/>
              <a:ea typeface="微软雅黑" panose="020B0503020204020204" pitchFamily="34" charset="-122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>
          <a:latin typeface="微软雅黑" panose="020B0503020204020204" pitchFamily="34" charset="-122"/>
          <a:ea typeface="微软雅黑" panose="020B0503020204020204" pitchFamily="34" charset="-122"/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18415</xdr:colOff>
      <xdr:row>16</xdr:row>
      <xdr:rowOff>144145</xdr:rowOff>
    </xdr:from>
    <xdr:to>
      <xdr:col>11</xdr:col>
      <xdr:colOff>563842</xdr:colOff>
      <xdr:row>28</xdr:row>
      <xdr:rowOff>171039</xdr:rowOff>
    </xdr:to>
    <xdr:graphicFrame>
      <xdr:nvGraphicFramePr>
        <xdr:cNvPr id="3" name="图表 2"/>
        <xdr:cNvGraphicFramePr/>
      </xdr:nvGraphicFramePr>
      <xdr:xfrm>
        <a:off x="18415" y="2982595"/>
        <a:ext cx="10879455" cy="25031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0</xdr:row>
          <xdr:rowOff>133350</xdr:rowOff>
        </xdr:from>
        <xdr:to>
          <xdr:col>8</xdr:col>
          <xdr:colOff>304800</xdr:colOff>
          <xdr:row>4</xdr:row>
          <xdr:rowOff>123825</xdr:rowOff>
        </xdr:to>
        <xdr:sp>
          <xdr:nvSpPr>
            <xdr:cNvPr id="1028" name="SaveFileButto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6143625" y="133350"/>
              <a:ext cx="2466975" cy="695325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5</xdr:col>
      <xdr:colOff>165735</xdr:colOff>
      <xdr:row>5</xdr:row>
      <xdr:rowOff>46990</xdr:rowOff>
    </xdr:from>
    <xdr:to>
      <xdr:col>12</xdr:col>
      <xdr:colOff>464185</xdr:colOff>
      <xdr:row>16</xdr:row>
      <xdr:rowOff>53340</xdr:rowOff>
    </xdr:to>
    <xdr:sp>
      <xdr:nvSpPr>
        <xdr:cNvPr id="2" name="矩形 1"/>
        <xdr:cNvSpPr/>
      </xdr:nvSpPr>
      <xdr:spPr>
        <a:xfrm>
          <a:off x="6061710" y="932815"/>
          <a:ext cx="5413375" cy="1958975"/>
        </a:xfrm>
        <a:prstGeom prst="rect">
          <a:avLst/>
        </a:prstGeom>
        <a:noFill/>
        <a:ln w="12700"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400" b="1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使用说明</a:t>
          </a:r>
          <a:endParaRPr lang="en-US" altLang="zh-CN" sz="1400" b="1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调节各分区长度，确保总的大小跟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存储大小相同（差异为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0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），长度调节单位必须是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4096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字节（一个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block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大小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4KB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）的整数倍。目前只支持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xknl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、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zknl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和 </a:t>
          </a:r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data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三个分区长度调节。</a:t>
          </a:r>
          <a:endParaRPr lang="en-US" altLang="zh-CN" sz="110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2. </a:t>
          </a:r>
          <a:r>
            <a:rPr lang="zh-CN" altLang="en-US" sz="110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点击“生成”按钮，将当前配置保存到文件，在保存前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excel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对数据做合法法校验；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3. 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分区表的总大小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与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FLASH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选型配置大小之间的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“</a:t>
          </a:r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未分配大小</a:t>
          </a:r>
          <a:r>
            <a:rPr lang="en-US" altLang="zh-CN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”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在调整后保证为</a:t>
          </a:r>
          <a:r>
            <a:rPr lang="en-US" altLang="zh-CN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 0 </a:t>
          </a:r>
          <a:r>
            <a:rPr lang="zh-CN" altLang="en-US" sz="1100" baseline="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zh-CN" altLang="en-US" sz="1100" b="1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注意事项：</a:t>
          </a:r>
          <a:endParaRPr lang="zh-CN" altLang="en-US" sz="1100" baseline="0">
            <a:solidFill>
              <a:sysClr val="windowText" lastClr="00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algn="l"/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1. data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分区会用来存放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升级包。若支持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功能，分区最小保持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560K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，差分包大小不超过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400K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。若不支持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fota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功能，分区最小</a:t>
          </a:r>
          <a:r>
            <a:rPr lang="en-US" altLang="zh-CN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128K</a:t>
          </a:r>
          <a:r>
            <a:rPr lang="zh-CN" altLang="en-US" sz="1100" baseline="0">
              <a:solidFill>
                <a:srgbClr val="FF0000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。</a:t>
          </a:r>
          <a:endParaRPr lang="zh-CN" altLang="en-US" sz="1100" baseline="0">
            <a:solidFill>
              <a:srgbClr val="FF0000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>
            <a:latin typeface="微软雅黑" panose="020B0503020204020204" pitchFamily="34" charset="-122"/>
            <a:ea typeface="微软雅黑" panose="020B0503020204020204" pitchFamily="34" charset="-122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33"/>
  <sheetViews>
    <sheetView tabSelected="1" workbookViewId="0">
      <selection activeCell="Q20" sqref="Q20:Q22"/>
    </sheetView>
  </sheetViews>
  <sheetFormatPr defaultColWidth="8.875" defaultRowHeight="13.5"/>
  <cols>
    <col min="1" max="1" width="14" style="2" customWidth="1"/>
    <col min="2" max="2" width="12.125" style="2" customWidth="1"/>
    <col min="3" max="3" width="19.875" style="2" customWidth="1"/>
    <col min="4" max="4" width="14.5" style="2" customWidth="1"/>
    <col min="5" max="5" width="16.875" style="2" customWidth="1"/>
    <col min="6" max="6" width="13.875" style="2" customWidth="1"/>
    <col min="7" max="13" width="8.875" style="2"/>
    <col min="14" max="14" width="7.25" style="2" customWidth="1"/>
    <col min="15" max="15" width="8.25" style="2" customWidth="1"/>
    <col min="16" max="16" width="11.875" style="2" customWidth="1"/>
    <col min="17" max="17" width="10.5" style="2" customWidth="1"/>
    <col min="18" max="16384" width="8.875" style="2"/>
  </cols>
  <sheetData>
    <row r="1" s="1" customFormat="1" spans="1:6">
      <c r="A1" s="3" t="s">
        <v>0</v>
      </c>
      <c r="B1" s="3" t="s">
        <v>1</v>
      </c>
      <c r="C1" s="4" t="s">
        <v>2</v>
      </c>
      <c r="D1" s="4"/>
      <c r="E1" s="4" t="s">
        <v>3</v>
      </c>
      <c r="F1" s="5"/>
    </row>
    <row r="2" s="1" customFormat="1" spans="1:6">
      <c r="A2" s="6"/>
      <c r="B2" s="6"/>
      <c r="C2" s="7" t="s">
        <v>4</v>
      </c>
      <c r="D2" s="7" t="s">
        <v>5</v>
      </c>
      <c r="E2" s="7" t="s">
        <v>5</v>
      </c>
      <c r="F2" s="5"/>
    </row>
    <row r="3" s="1" customFormat="1" ht="14.25" spans="1:6">
      <c r="A3" s="8" t="s">
        <v>6</v>
      </c>
      <c r="B3" s="9" t="s">
        <v>7</v>
      </c>
      <c r="C3" s="10">
        <v>32</v>
      </c>
      <c r="D3" s="10">
        <f>C3*1024</f>
        <v>32768</v>
      </c>
      <c r="E3" s="9" t="str">
        <f>"0x"&amp;DEC2HEX(D3,8)</f>
        <v>0x00008000</v>
      </c>
      <c r="F3" s="5"/>
    </row>
    <row r="4" s="1" customFormat="1" ht="14.25" spans="1:6">
      <c r="A4" s="8" t="s">
        <v>8</v>
      </c>
      <c r="B4" s="9" t="str">
        <f>"0x"&amp;DEC2HEX(HEX2DEC(RIGHT(B3,LEN(B3)-2))+HEX2DEC(RIGHT(E3,LEN(E3)-2)),8)</f>
        <v>0x00008000</v>
      </c>
      <c r="C4" s="10">
        <v>4</v>
      </c>
      <c r="D4" s="10">
        <f>C4*1024</f>
        <v>4096</v>
      </c>
      <c r="E4" s="9" t="str">
        <f>"0x"&amp;DEC2HEX(D4,8)</f>
        <v>0x00001000</v>
      </c>
      <c r="F4" s="5"/>
    </row>
    <row r="5" s="1" customFormat="1" ht="14.25" spans="1:6">
      <c r="A5" s="8" t="s">
        <v>9</v>
      </c>
      <c r="B5" s="9" t="str">
        <f>"0x"&amp;DEC2HEX(HEX2DEC(RIGHT(B4,LEN(B4)-2))+HEX2DEC(RIGHT(E4,LEN(E4)-2)),8)</f>
        <v>0x00009000</v>
      </c>
      <c r="C5" s="10">
        <v>4</v>
      </c>
      <c r="D5" s="10">
        <f>C5*1024</f>
        <v>4096</v>
      </c>
      <c r="E5" s="9" t="str">
        <f>"0x"&amp;DEC2HEX(D5,8)</f>
        <v>0x00001000</v>
      </c>
      <c r="F5" s="5"/>
    </row>
    <row r="6" s="1" customFormat="1" ht="14.25" spans="1:6">
      <c r="A6" s="8" t="s">
        <v>10</v>
      </c>
      <c r="B6" s="9" t="str">
        <f>"0x"&amp;DEC2HEX(HEX2DEC(RIGHT(B5,LEN(B5)-2))+HEX2DEC(RIGHT(E5,LEN(E5)-2)),8)</f>
        <v>0x0000A000</v>
      </c>
      <c r="C6" s="10">
        <v>28</v>
      </c>
      <c r="D6" s="10">
        <f t="shared" ref="D6:D12" si="0">C6*1024</f>
        <v>28672</v>
      </c>
      <c r="E6" s="9" t="str">
        <f t="shared" ref="E6:E12" si="1">"0x"&amp;DEC2HEX(D6,8)</f>
        <v>0x00007000</v>
      </c>
      <c r="F6" s="5"/>
    </row>
    <row r="7" s="1" customFormat="1" ht="14.25" spans="1:6">
      <c r="A7" s="8" t="s">
        <v>11</v>
      </c>
      <c r="B7" s="9" t="str">
        <f t="shared" ref="B7:B12" si="2">"0x"&amp;DEC2HEX(HEX2DEC(RIGHT(B6,LEN(B6)-2))+HEX2DEC(RIGHT(E6,LEN(E6)-2)),8)</f>
        <v>0x00011000</v>
      </c>
      <c r="C7" s="10">
        <v>64</v>
      </c>
      <c r="D7" s="10">
        <f t="shared" si="0"/>
        <v>65536</v>
      </c>
      <c r="E7" s="9" t="str">
        <f t="shared" si="1"/>
        <v>0x00010000</v>
      </c>
      <c r="F7" s="5"/>
    </row>
    <row r="8" s="1" customFormat="1" ht="14.25" spans="1:6">
      <c r="A8" s="8" t="s">
        <v>12</v>
      </c>
      <c r="B8" s="9" t="str">
        <f t="shared" si="2"/>
        <v>0x00021000</v>
      </c>
      <c r="C8" s="10">
        <v>4</v>
      </c>
      <c r="D8" s="10">
        <f t="shared" si="0"/>
        <v>4096</v>
      </c>
      <c r="E8" s="9" t="str">
        <f t="shared" si="1"/>
        <v>0x00001000</v>
      </c>
      <c r="F8" s="5"/>
    </row>
    <row r="9" s="1" customFormat="1" ht="14.25" spans="1:6">
      <c r="A9" s="8" t="s">
        <v>13</v>
      </c>
      <c r="B9" s="9" t="str">
        <f t="shared" si="2"/>
        <v>0x00022000</v>
      </c>
      <c r="C9" s="10">
        <v>24</v>
      </c>
      <c r="D9" s="10">
        <f t="shared" si="0"/>
        <v>24576</v>
      </c>
      <c r="E9" s="9" t="str">
        <f t="shared" si="1"/>
        <v>0x00006000</v>
      </c>
      <c r="F9" s="5"/>
    </row>
    <row r="10" s="1" customFormat="1" ht="14.25" spans="1:6">
      <c r="A10" s="8" t="s">
        <v>14</v>
      </c>
      <c r="B10" s="9" t="str">
        <f t="shared" si="2"/>
        <v>0x00028000</v>
      </c>
      <c r="C10" s="11">
        <v>2736</v>
      </c>
      <c r="D10" s="10">
        <f t="shared" si="0"/>
        <v>2801664</v>
      </c>
      <c r="E10" s="9" t="str">
        <f t="shared" si="1"/>
        <v>0x002AC000</v>
      </c>
      <c r="F10" s="5"/>
    </row>
    <row r="11" s="1" customFormat="1" ht="14.25" spans="1:6">
      <c r="A11" s="8" t="s">
        <v>15</v>
      </c>
      <c r="B11" s="9" t="str">
        <f t="shared" si="2"/>
        <v>0x002D4000</v>
      </c>
      <c r="C11" s="11">
        <v>640</v>
      </c>
      <c r="D11" s="10">
        <f t="shared" si="0"/>
        <v>655360</v>
      </c>
      <c r="E11" s="9" t="str">
        <f t="shared" si="1"/>
        <v>0x000A0000</v>
      </c>
      <c r="F11" s="5"/>
    </row>
    <row r="12" s="1" customFormat="1" ht="14.25" spans="1:6">
      <c r="A12" s="8" t="s">
        <v>16</v>
      </c>
      <c r="B12" s="9" t="str">
        <f t="shared" si="2"/>
        <v>0x00374000</v>
      </c>
      <c r="C12" s="11">
        <v>560</v>
      </c>
      <c r="D12" s="10">
        <f t="shared" si="0"/>
        <v>573440</v>
      </c>
      <c r="E12" s="9" t="str">
        <f t="shared" si="1"/>
        <v>0x0008C000</v>
      </c>
      <c r="F12" s="5"/>
    </row>
    <row r="13" s="1" customFormat="1" spans="1:5">
      <c r="A13" s="12" t="s">
        <v>17</v>
      </c>
      <c r="B13" s="12"/>
      <c r="C13" s="12"/>
      <c r="D13" s="13"/>
      <c r="E13" s="14">
        <f>D16*1024</f>
        <v>0</v>
      </c>
    </row>
    <row r="14" s="1" customFormat="1" spans="1:6">
      <c r="A14" s="15" t="s">
        <v>18</v>
      </c>
      <c r="B14" s="16">
        <v>4096</v>
      </c>
      <c r="C14" s="17" t="s">
        <v>19</v>
      </c>
      <c r="D14" s="18">
        <f>SUM(C3:C12)</f>
        <v>4096</v>
      </c>
      <c r="E14" s="18" t="s">
        <v>20</v>
      </c>
      <c r="F14" s="5"/>
    </row>
    <row r="15" s="1" customFormat="1" spans="1:6">
      <c r="A15" s="19"/>
      <c r="B15" s="20"/>
      <c r="C15" s="17" t="s">
        <v>21</v>
      </c>
      <c r="D15" s="18">
        <f>B14</f>
        <v>4096</v>
      </c>
      <c r="E15" s="18" t="s">
        <v>20</v>
      </c>
      <c r="F15" s="5"/>
    </row>
    <row r="16" s="1" customFormat="1" spans="1:6">
      <c r="A16" s="21"/>
      <c r="B16" s="22"/>
      <c r="C16" s="23" t="s">
        <v>22</v>
      </c>
      <c r="D16" s="24">
        <f>(D15-D14)</f>
        <v>0</v>
      </c>
      <c r="E16" s="18" t="s">
        <v>20</v>
      </c>
      <c r="F16" s="5"/>
    </row>
    <row r="17" s="1" customFormat="1" spans="1:17">
      <c r="A17" s="25"/>
      <c r="B17" s="25"/>
      <c r="C17" s="25"/>
      <c r="D17" s="25"/>
      <c r="E17" s="25"/>
      <c r="F17" s="25"/>
      <c r="N17" s="27"/>
      <c r="O17" s="27"/>
      <c r="P17" s="27"/>
      <c r="Q17" s="27"/>
    </row>
    <row r="18" s="1" customFormat="1" ht="16.5" spans="13:18">
      <c r="M18" s="28"/>
      <c r="N18" s="29" t="s">
        <v>23</v>
      </c>
      <c r="O18" s="30"/>
      <c r="P18" s="30"/>
      <c r="Q18" s="36"/>
      <c r="R18" s="5"/>
    </row>
    <row r="19" s="1" customFormat="1" ht="16.5" spans="13:18">
      <c r="M19" s="28"/>
      <c r="N19" s="31" t="s">
        <v>24</v>
      </c>
      <c r="O19" s="31" t="s">
        <v>25</v>
      </c>
      <c r="P19" s="31" t="s">
        <v>0</v>
      </c>
      <c r="Q19" s="31" t="s">
        <v>26</v>
      </c>
      <c r="R19" s="5"/>
    </row>
    <row r="20" s="1" customFormat="1" ht="16.5" spans="13:18">
      <c r="M20" s="28"/>
      <c r="N20" s="32" t="s">
        <v>27</v>
      </c>
      <c r="O20" s="32" t="s">
        <v>28</v>
      </c>
      <c r="P20" s="33" t="s">
        <v>14</v>
      </c>
      <c r="Q20" s="37">
        <v>888</v>
      </c>
      <c r="R20" s="5"/>
    </row>
    <row r="21" s="1" customFormat="1" ht="16.5" spans="13:18">
      <c r="M21" s="28"/>
      <c r="N21" s="34"/>
      <c r="O21" s="34"/>
      <c r="P21" s="33" t="s">
        <v>15</v>
      </c>
      <c r="Q21" s="37">
        <v>640</v>
      </c>
      <c r="R21" s="5"/>
    </row>
    <row r="22" s="1" customFormat="1" ht="16.5" spans="13:18">
      <c r="M22" s="28"/>
      <c r="N22" s="35"/>
      <c r="O22" s="35"/>
      <c r="P22" s="33" t="s">
        <v>16</v>
      </c>
      <c r="Q22" s="37">
        <v>360</v>
      </c>
      <c r="R22" s="5"/>
    </row>
    <row r="23" s="1" customFormat="1" ht="16.5" spans="13:18">
      <c r="M23" s="28"/>
      <c r="N23" s="32" t="s">
        <v>29</v>
      </c>
      <c r="O23" s="32" t="s">
        <v>30</v>
      </c>
      <c r="P23" s="33" t="s">
        <v>14</v>
      </c>
      <c r="Q23" s="37">
        <v>2736</v>
      </c>
      <c r="R23" s="5"/>
    </row>
    <row r="24" s="1" customFormat="1" ht="16.5" spans="13:18">
      <c r="M24" s="28"/>
      <c r="N24" s="34"/>
      <c r="O24" s="34"/>
      <c r="P24" s="33" t="s">
        <v>15</v>
      </c>
      <c r="Q24" s="37">
        <v>640</v>
      </c>
      <c r="R24" s="5"/>
    </row>
    <row r="25" s="1" customFormat="1" ht="16.5" spans="13:18">
      <c r="M25" s="28"/>
      <c r="N25" s="35"/>
      <c r="O25" s="35"/>
      <c r="P25" s="33" t="s">
        <v>16</v>
      </c>
      <c r="Q25" s="37">
        <v>560</v>
      </c>
      <c r="R25" s="5"/>
    </row>
    <row r="26" s="1" customFormat="1" ht="16.5" spans="13:18">
      <c r="M26" s="28"/>
      <c r="N26" s="32" t="s">
        <v>31</v>
      </c>
      <c r="O26" s="32"/>
      <c r="P26" s="33"/>
      <c r="Q26" s="37"/>
      <c r="R26" s="5"/>
    </row>
    <row r="27" s="1" customFormat="1" ht="16.5" spans="13:18">
      <c r="M27" s="28"/>
      <c r="N27" s="34"/>
      <c r="O27" s="34"/>
      <c r="P27" s="33"/>
      <c r="Q27" s="37"/>
      <c r="R27" s="5"/>
    </row>
    <row r="28" s="1" customFormat="1" ht="16.5" spans="13:18">
      <c r="M28" s="28"/>
      <c r="N28" s="35"/>
      <c r="O28" s="35"/>
      <c r="P28" s="33"/>
      <c r="Q28" s="37"/>
      <c r="R28" s="5"/>
    </row>
    <row r="29" s="1" customFormat="1" ht="16.5" spans="13:18">
      <c r="M29" s="28"/>
      <c r="N29" s="32" t="s">
        <v>32</v>
      </c>
      <c r="O29" s="32"/>
      <c r="P29" s="33"/>
      <c r="Q29" s="37"/>
      <c r="R29" s="5"/>
    </row>
    <row r="30" s="1" customFormat="1" ht="16.5" spans="14:17">
      <c r="N30" s="34"/>
      <c r="O30" s="34"/>
      <c r="P30" s="33"/>
      <c r="Q30" s="37"/>
    </row>
    <row r="31" s="1" customFormat="1" ht="16.5" spans="14:17">
      <c r="N31" s="35"/>
      <c r="O31" s="35"/>
      <c r="P31" s="33"/>
      <c r="Q31" s="37"/>
    </row>
    <row r="32" s="1" customFormat="1"/>
    <row r="33" spans="6:6">
      <c r="F33" s="26"/>
    </row>
  </sheetData>
  <mergeCells count="14">
    <mergeCell ref="C1:D1"/>
    <mergeCell ref="N18:Q18"/>
    <mergeCell ref="A1:A2"/>
    <mergeCell ref="A14:A16"/>
    <mergeCell ref="B1:B2"/>
    <mergeCell ref="B14:B16"/>
    <mergeCell ref="N20:N22"/>
    <mergeCell ref="N23:N25"/>
    <mergeCell ref="N26:N28"/>
    <mergeCell ref="N29:N31"/>
    <mergeCell ref="O20:O22"/>
    <mergeCell ref="O23:O25"/>
    <mergeCell ref="O26:O28"/>
    <mergeCell ref="O29:O31"/>
  </mergeCells>
  <conditionalFormatting sqref="C10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{ab8787e3-fd6f-4bb3-8105-d6091c7509dd}</x14:id>
        </ext>
      </extLst>
    </cfRule>
  </conditionalFormatting>
  <conditionalFormatting sqref="C11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{7af83180-28f4-47fc-8e9d-5455da1a6152}</x14:id>
        </ext>
      </extLst>
    </cfRule>
  </conditionalFormatting>
  <conditionalFormatting sqref="C12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{696d4e08-094b-46e0-9703-b6a9bd50968f}</x14:id>
        </ext>
      </extLst>
    </cfRule>
  </conditionalFormatting>
  <conditionalFormatting sqref="B14:B1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{56d24850-3caf-424c-b702-1f7d1d3b16f9}</x14:id>
        </ext>
      </extLst>
    </cfRule>
  </conditionalFormatting>
  <dataValidations count="1">
    <dataValidation type="list" allowBlank="1" showInputMessage="1" showErrorMessage="1" sqref="B14:B16">
      <formula1>"4096,8192,2048"</formula1>
    </dataValidation>
  </dataValidations>
  <pageMargins left="0.7" right="0.7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8" r:id="rId3" name="SaveFileButton">
          <controlPr defaultSize="0" r:id="rId4">
            <anchor moveWithCells="1">
              <from>
                <xdr:col>5</xdr:col>
                <xdr:colOff>247650</xdr:colOff>
                <xdr:row>0</xdr:row>
                <xdr:rowOff>133350</xdr:rowOff>
              </from>
              <to>
                <xdr:col>8</xdr:col>
                <xdr:colOff>304800</xdr:colOff>
                <xdr:row>4</xdr:row>
                <xdr:rowOff>123825</xdr:rowOff>
              </to>
            </anchor>
          </controlPr>
        </control>
      </mc:Choice>
      <mc:Fallback>
        <control shapeId="1028" r:id="rId3" name="SaveFileButton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787e3-fd6f-4bb3-8105-d6091c7509d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C10</xm:sqref>
        </x14:conditionalFormatting>
        <x14:conditionalFormatting xmlns:xm="http://schemas.microsoft.com/office/excel/2006/main">
          <x14:cfRule type="dataBar" id="{7af83180-28f4-47fc-8e9d-5455da1a615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C11</xm:sqref>
        </x14:conditionalFormatting>
        <x14:conditionalFormatting xmlns:xm="http://schemas.microsoft.com/office/excel/2006/main">
          <x14:cfRule type="dataBar" id="{696d4e08-094b-46e0-9703-b6a9bd50968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C12</xm:sqref>
        </x14:conditionalFormatting>
        <x14:conditionalFormatting xmlns:xm="http://schemas.microsoft.com/office/excel/2006/main">
          <x14:cfRule type="dataBar" id="{56d24850-3caf-424c-b702-1f7d1d3b16f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B14:B16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分区配置生成工具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eyinwng</dc:creator>
  <cp:lastModifiedBy>Administrator</cp:lastModifiedBy>
  <dcterms:created xsi:type="dcterms:W3CDTF">2006-09-16T00:00:00Z</dcterms:created>
  <dcterms:modified xsi:type="dcterms:W3CDTF">2024-12-12T07:36:55Z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B5737496D59049B382BFE78848157AD0_13</vt:lpwstr>
  </property>
  <property fmtid="{D5CDD505-2E9C-101B-9397-08002B2CF9AE}" pid="3" name="KSOProductBuildVer">
    <vt:lpwstr>2052-11.1.0.11875</vt:lpwstr>
  </property>
</Properties>
</file>